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VA Folder\Data\Project\Ho Chi Minh Vegan Restaurant Analysis\"/>
    </mc:Choice>
  </mc:AlternateContent>
  <xr:revisionPtr revIDLastSave="0" documentId="13_ncr:1_{A887026C-9CB4-473F-88A7-33312E2F791E}" xr6:coauthVersionLast="47" xr6:coauthVersionMax="47" xr10:uidLastSave="{00000000-0000-0000-0000-000000000000}"/>
  <bookViews>
    <workbookView xWindow="-120" yWindow="-120" windowWidth="24240" windowHeight="13020" tabRatio="787" xr2:uid="{ED506EEE-8C6B-4107-BA5C-58C4FB546116}"/>
  </bookViews>
  <sheets>
    <sheet name="Cleaned Table" sheetId="6" r:id="rId1"/>
    <sheet name="Dictionary" sheetId="25" r:id="rId2"/>
    <sheet name="Recommended districts" sheetId="17" r:id="rId3"/>
    <sheet name="Location" sheetId="21" r:id="rId4"/>
    <sheet name="Price Gap" sheetId="22" r:id="rId5"/>
    <sheet name="Concept" sheetId="8" r:id="rId6"/>
    <sheet name="Others" sheetId="23" r:id="rId7"/>
    <sheet name="Scoring model_input" sheetId="11" r:id="rId8"/>
    <sheet name="Scoring model_result" sheetId="20" r:id="rId9"/>
    <sheet name="Dist  Binh Thanh" sheetId="15" r:id="rId10"/>
    <sheet name="Dist 7" sheetId="4" r:id="rId11"/>
    <sheet name="Dist 2" sheetId="3" r:id="rId12"/>
    <sheet name="Dist 1" sheetId="2" r:id="rId13"/>
    <sheet name="District classification" sheetId="7" r:id="rId14"/>
    <sheet name="Ward Info" sheetId="18" r:id="rId15"/>
    <sheet name="RestaurantClassification" sheetId="12" r:id="rId16"/>
    <sheet name="Price_bucket" sheetId="19" r:id="rId17"/>
  </sheets>
  <externalReferences>
    <externalReference r:id="rId18"/>
  </externalReferences>
  <definedNames>
    <definedName name="_xlnm._FilterDatabase" localSheetId="7" hidden="1">'Scoring model_input'!$A$1:$K$11</definedName>
    <definedName name="ExternalData_1" localSheetId="12" hidden="1">'Dist 1'!$A$1:$R$118</definedName>
    <definedName name="ExternalData_2" localSheetId="11" hidden="1">'Dist 2'!$A$1:$R$79</definedName>
    <definedName name="ExternalData_3" localSheetId="10" hidden="1">'Dist 7'!$A$1:$R$45</definedName>
    <definedName name="ExternalData_5" localSheetId="0" hidden="1">'Cleaned Table'!$A$1:$R$142</definedName>
    <definedName name="ExternalData_6" localSheetId="9" hidden="1">'Dist  Binh Thanh'!$A$1:$P$22</definedName>
    <definedName name="ExternalData_6" localSheetId="13" hidden="1">'District classification'!$A$1:$H$205</definedName>
    <definedName name="ExternalData_6" localSheetId="15" hidden="1">'RestaurantClassification'!$A$1:$O$197</definedName>
    <definedName name="ExternalData_6" localSheetId="14" hidden="1">'Ward Info'!$A$1:$L$205</definedName>
  </definedNames>
  <calcPr calcId="191029"/>
  <pivotCaches>
    <pivotCache cacheId="1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20" l="1"/>
  <c r="H17" i="20"/>
  <c r="H18" i="20"/>
  <c r="B6" i="23" l="1"/>
  <c r="B5" i="23"/>
  <c r="B4" i="23"/>
  <c r="U5" i="21"/>
  <c r="V5" i="21"/>
  <c r="U6" i="21"/>
  <c r="V6" i="21"/>
  <c r="W6" i="21" s="1"/>
  <c r="U7" i="21"/>
  <c r="V7" i="21"/>
  <c r="U8" i="21"/>
  <c r="V8" i="21"/>
  <c r="U9" i="21"/>
  <c r="V9" i="21"/>
  <c r="U10" i="21"/>
  <c r="V10" i="21"/>
  <c r="U11" i="21"/>
  <c r="V11" i="21"/>
  <c r="U12" i="21"/>
  <c r="V12" i="21"/>
  <c r="U13" i="21"/>
  <c r="V13" i="21"/>
  <c r="U14" i="21"/>
  <c r="V14" i="21"/>
  <c r="U15" i="21"/>
  <c r="V15" i="21"/>
  <c r="U16" i="21"/>
  <c r="V16" i="21"/>
  <c r="U17" i="21"/>
  <c r="V17" i="21"/>
  <c r="U18" i="21"/>
  <c r="V18" i="21"/>
  <c r="U19" i="21"/>
  <c r="V19" i="21"/>
  <c r="U20" i="21"/>
  <c r="V20" i="21"/>
  <c r="U21" i="21"/>
  <c r="V21" i="21"/>
  <c r="U22" i="21"/>
  <c r="V22" i="21"/>
  <c r="U23" i="21"/>
  <c r="V23" i="21"/>
  <c r="U24" i="21"/>
  <c r="V24" i="21"/>
  <c r="U25" i="21"/>
  <c r="V25" i="21"/>
  <c r="M9" i="21"/>
  <c r="L9" i="21"/>
  <c r="I9" i="21"/>
  <c r="H9" i="21"/>
  <c r="M8" i="21"/>
  <c r="L8" i="21"/>
  <c r="I8" i="21"/>
  <c r="H8" i="21"/>
  <c r="M7" i="21"/>
  <c r="L7" i="21"/>
  <c r="I7" i="21"/>
  <c r="H7" i="21"/>
  <c r="M6" i="21"/>
  <c r="L6" i="21"/>
  <c r="I6" i="21"/>
  <c r="H6" i="21"/>
  <c r="M5" i="21"/>
  <c r="L5" i="21"/>
  <c r="I5" i="21"/>
  <c r="H5" i="21"/>
  <c r="W8" i="21" l="1"/>
  <c r="W11" i="21"/>
  <c r="W9" i="21"/>
  <c r="W23" i="21"/>
  <c r="W19" i="21"/>
  <c r="W24" i="21"/>
  <c r="W7" i="21"/>
  <c r="W21" i="21"/>
  <c r="W13" i="21"/>
  <c r="W10" i="21"/>
  <c r="W5" i="21"/>
  <c r="W22" i="21"/>
  <c r="W17" i="21"/>
  <c r="W20" i="21"/>
  <c r="W16" i="21"/>
  <c r="W12" i="21"/>
  <c r="W25" i="21"/>
  <c r="W18" i="21"/>
  <c r="W14" i="21"/>
  <c r="J5" i="21"/>
  <c r="W15" i="21"/>
  <c r="J6" i="21"/>
  <c r="N6" i="21"/>
  <c r="H10" i="21"/>
  <c r="J7" i="21"/>
  <c r="J9" i="21"/>
  <c r="N7" i="21"/>
  <c r="N9" i="21"/>
  <c r="J8" i="21"/>
  <c r="I10" i="21"/>
  <c r="N8" i="21"/>
  <c r="N5" i="21"/>
  <c r="N11" i="20"/>
  <c r="M11" i="20"/>
  <c r="B11" i="20"/>
  <c r="A11" i="20"/>
  <c r="N10" i="20"/>
  <c r="M10" i="20"/>
  <c r="B10" i="20"/>
  <c r="A10" i="20"/>
  <c r="N9" i="20"/>
  <c r="M9" i="20"/>
  <c r="B9" i="20"/>
  <c r="A9" i="20"/>
  <c r="N8" i="20"/>
  <c r="M8" i="20"/>
  <c r="B8" i="20"/>
  <c r="A8" i="20"/>
  <c r="N7" i="20"/>
  <c r="M7" i="20"/>
  <c r="B7" i="20"/>
  <c r="A7" i="20"/>
  <c r="N6" i="20"/>
  <c r="M6" i="20"/>
  <c r="B6" i="20"/>
  <c r="A6" i="20"/>
  <c r="N5" i="20"/>
  <c r="M5" i="20"/>
  <c r="B5" i="20"/>
  <c r="A5" i="20"/>
  <c r="N4" i="20"/>
  <c r="M4" i="20"/>
  <c r="B4" i="20"/>
  <c r="A4" i="20"/>
  <c r="N3" i="20"/>
  <c r="M3" i="20"/>
  <c r="B3" i="20"/>
  <c r="A3" i="20"/>
  <c r="N2" i="20"/>
  <c r="M2" i="20"/>
  <c r="B2" i="20"/>
  <c r="A2" i="20"/>
  <c r="D3" i="11"/>
  <c r="D3" i="20" s="1"/>
  <c r="D4" i="11"/>
  <c r="D4" i="20" s="1"/>
  <c r="D5" i="11"/>
  <c r="G5" i="11" s="1"/>
  <c r="G5" i="20" s="1"/>
  <c r="D6" i="11"/>
  <c r="D7" i="11"/>
  <c r="D7" i="20" s="1"/>
  <c r="D8" i="11"/>
  <c r="D8" i="20" s="1"/>
  <c r="D9" i="11"/>
  <c r="G9" i="11" s="1"/>
  <c r="D10" i="11"/>
  <c r="G10" i="11" s="1"/>
  <c r="D11" i="11"/>
  <c r="D11" i="20" s="1"/>
  <c r="J11" i="20" s="1"/>
  <c r="D2" i="11"/>
  <c r="G2" i="11" s="1"/>
  <c r="C3" i="11"/>
  <c r="C3" i="20" s="1"/>
  <c r="C4" i="11"/>
  <c r="F4" i="11" s="1"/>
  <c r="F4" i="20" s="1"/>
  <c r="C5" i="11"/>
  <c r="C5" i="20" s="1"/>
  <c r="C6" i="11"/>
  <c r="C6" i="20" s="1"/>
  <c r="C7" i="11"/>
  <c r="F7" i="11" s="1"/>
  <c r="F7" i="20" s="1"/>
  <c r="C8" i="11"/>
  <c r="F8" i="11" s="1"/>
  <c r="F8" i="20" s="1"/>
  <c r="C9" i="11"/>
  <c r="F9" i="11" s="1"/>
  <c r="F9" i="20" s="1"/>
  <c r="C10" i="11"/>
  <c r="C10" i="20" s="1"/>
  <c r="C11" i="11"/>
  <c r="C11" i="20" s="1"/>
  <c r="C2" i="11"/>
  <c r="C2" i="20" s="1"/>
  <c r="E3" i="11" l="1"/>
  <c r="E3" i="20" s="1"/>
  <c r="F6" i="11"/>
  <c r="F6" i="20" s="1"/>
  <c r="G8" i="11"/>
  <c r="G8" i="20" s="1"/>
  <c r="L8" i="20" s="1"/>
  <c r="E6" i="11"/>
  <c r="E6" i="20" s="1"/>
  <c r="D2" i="20"/>
  <c r="E5" i="11"/>
  <c r="E5" i="20" s="1"/>
  <c r="D6" i="20"/>
  <c r="J6" i="20" s="1"/>
  <c r="G10" i="20"/>
  <c r="G2" i="20"/>
  <c r="G9" i="20"/>
  <c r="L9" i="20" s="1"/>
  <c r="H9" i="11"/>
  <c r="H9" i="20" s="1"/>
  <c r="C8" i="20"/>
  <c r="C4" i="20"/>
  <c r="E10" i="11"/>
  <c r="E10" i="20" s="1"/>
  <c r="E11" i="11"/>
  <c r="E11" i="20" s="1"/>
  <c r="F5" i="11"/>
  <c r="F5" i="20" s="1"/>
  <c r="L5" i="20" s="1"/>
  <c r="G7" i="11"/>
  <c r="D9" i="20"/>
  <c r="D5" i="20"/>
  <c r="E2" i="11"/>
  <c r="E2" i="20" s="1"/>
  <c r="E9" i="11"/>
  <c r="E9" i="20" s="1"/>
  <c r="F2" i="11"/>
  <c r="F2" i="20" s="1"/>
  <c r="L2" i="20" s="1"/>
  <c r="G6" i="11"/>
  <c r="C9" i="20"/>
  <c r="J7" i="20" s="1"/>
  <c r="E8" i="11"/>
  <c r="E8" i="20" s="1"/>
  <c r="F11" i="11"/>
  <c r="F11" i="20" s="1"/>
  <c r="F3" i="11"/>
  <c r="F3" i="20" s="1"/>
  <c r="D10" i="20"/>
  <c r="E7" i="11"/>
  <c r="E7" i="20" s="1"/>
  <c r="F10" i="11"/>
  <c r="F10" i="20" s="1"/>
  <c r="G4" i="11"/>
  <c r="G11" i="11"/>
  <c r="G3" i="11"/>
  <c r="C7" i="20"/>
  <c r="E4" i="11"/>
  <c r="E4" i="20" s="1"/>
  <c r="J4" i="20"/>
  <c r="J2" i="20"/>
  <c r="J3" i="20"/>
  <c r="I5" i="20"/>
  <c r="J5" i="20"/>
  <c r="I4" i="20"/>
  <c r="L10" i="20"/>
  <c r="I3" i="20"/>
  <c r="K5" i="21"/>
  <c r="I2" i="20" l="1"/>
  <c r="I6" i="20"/>
  <c r="I9" i="20"/>
  <c r="H8" i="11"/>
  <c r="H8" i="20" s="1"/>
  <c r="I8" i="20"/>
  <c r="I10" i="20"/>
  <c r="H11" i="11"/>
  <c r="H11" i="20" s="1"/>
  <c r="G11" i="20"/>
  <c r="L11" i="20" s="1"/>
  <c r="I7" i="20"/>
  <c r="H2" i="11"/>
  <c r="H2" i="20" s="1"/>
  <c r="J9" i="20"/>
  <c r="H3" i="11"/>
  <c r="H3" i="20" s="1"/>
  <c r="G3" i="20"/>
  <c r="H7" i="11"/>
  <c r="H7" i="20" s="1"/>
  <c r="G7" i="20"/>
  <c r="L7" i="20" s="1"/>
  <c r="H4" i="11"/>
  <c r="H4" i="20" s="1"/>
  <c r="G4" i="20"/>
  <c r="L4" i="20" s="1"/>
  <c r="J10" i="20"/>
  <c r="J8" i="20"/>
  <c r="I11" i="20"/>
  <c r="L3" i="20"/>
  <c r="H10" i="11"/>
  <c r="H10" i="20" s="1"/>
  <c r="H6" i="11"/>
  <c r="H6" i="20" s="1"/>
  <c r="G6" i="20"/>
  <c r="L6" i="20" s="1"/>
  <c r="H5" i="11"/>
  <c r="H5" i="20" s="1"/>
  <c r="K8" i="21"/>
  <c r="K6" i="21"/>
  <c r="K7" i="21"/>
  <c r="K9" i="21"/>
  <c r="K11" i="20" l="1"/>
  <c r="K7" i="20"/>
  <c r="K5" i="20"/>
  <c r="O5" i="20" s="1"/>
  <c r="K6" i="20"/>
  <c r="O6" i="20" s="1"/>
  <c r="K8" i="20"/>
  <c r="O8" i="20" s="1"/>
  <c r="K3" i="20"/>
  <c r="O3" i="20" s="1"/>
  <c r="P3" i="20" s="1"/>
  <c r="Q3" i="20" s="1"/>
  <c r="K2" i="20"/>
  <c r="O2" i="20" s="1"/>
  <c r="P2" i="20" s="1"/>
  <c r="Q2" i="20" s="1"/>
  <c r="K9" i="20"/>
  <c r="O9" i="20" s="1"/>
  <c r="P9" i="20" s="1"/>
  <c r="Q9" i="20" s="1"/>
  <c r="O11" i="20"/>
  <c r="K10" i="20"/>
  <c r="O10" i="20" s="1"/>
  <c r="K4" i="20"/>
  <c r="O4" i="20" s="1"/>
  <c r="O7" i="20"/>
  <c r="P10" i="20" l="1"/>
  <c r="Q10" i="20" s="1"/>
  <c r="P8" i="20"/>
  <c r="Q8" i="20" s="1"/>
  <c r="P11" i="20"/>
  <c r="Q11" i="20" s="1"/>
  <c r="P7" i="20"/>
  <c r="Q7" i="20" s="1"/>
  <c r="P4" i="20"/>
  <c r="Q4" i="20" s="1"/>
  <c r="P5" i="20"/>
  <c r="Q5" i="20" s="1"/>
  <c r="P6" i="20"/>
  <c r="Q6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D2E5F-2D6F-4DBC-9BB3-F87B34768117}" keepAlive="1" name="Query - Cleaned Table" description="Connection to the 'Cleaned Table' query in the workbook." type="5" refreshedVersion="8" background="1" saveData="1">
    <dbPr connection="Provider=Microsoft.Mashup.OleDb.1;Data Source=$Workbook$;Location=&quot;Cleaned Table&quot;;Extended Properties=&quot;&quot;" command="SELECT * FROM [Cleaned Table]"/>
  </connection>
  <connection id="2" xr16:uid="{8E680A20-42FB-4068-ACB1-44A28ACF52CF}" keepAlive="1" name="Query - Dist  Binh Thanh" description="Connection to the 'Dist  Binh Thanh' query in the workbook." type="5" refreshedVersion="8" background="1" saveData="1">
    <dbPr connection="Provider=Microsoft.Mashup.OleDb.1;Data Source=$Workbook$;Location=&quot;Dist  Binh Thanh&quot;;Extended Properties=&quot;&quot;" command="SELECT * FROM [Dist  Binh Thanh]"/>
  </connection>
  <connection id="3" xr16:uid="{B9C71023-4BC3-4AC7-ACF7-8ECFED0F1569}" keepAlive="1" name="Query - Dist 1" description="Connection to the 'Dist 1' query in the workbook." type="5" refreshedVersion="8" background="1" saveData="1">
    <dbPr connection="Provider=Microsoft.Mashup.OleDb.1;Data Source=$Workbook$;Location=&quot;Dist 1&quot;;Extended Properties=&quot;&quot;" command="SELECT * FROM [Dist 1]"/>
  </connection>
  <connection id="4" xr16:uid="{9FC1E12B-60B6-40D4-99C7-21A3051A99E5}" keepAlive="1" name="Query - Dist 2" description="Connection to the 'Dist 2' query in the workbook." type="5" refreshedVersion="8" background="1" saveData="1">
    <dbPr connection="Provider=Microsoft.Mashup.OleDb.1;Data Source=$Workbook$;Location=&quot;Dist 2&quot;;Extended Properties=&quot;&quot;" command="SELECT * FROM [Dist 2]"/>
  </connection>
  <connection id="5" xr16:uid="{92267EE9-128B-4DDA-89F9-DC1A0E239267}" keepAlive="1" name="Query - Dist 7" description="Connection to the 'Dist 7' query in the workbook." type="5" refreshedVersion="8" background="1" saveData="1">
    <dbPr connection="Provider=Microsoft.Mashup.OleDb.1;Data Source=$Workbook$;Location=&quot;Dist 7&quot;;Extended Properties=&quot;&quot;" command="SELECT * FROM [Dist 7]"/>
  </connection>
  <connection id="6" xr16:uid="{BFF40D2F-8CCB-41BB-AB99-9E9F49BC9D90}" keepAlive="1" name="Query - District classification" description="Connection to the 'District classification' query in the workbook." type="5" refreshedVersion="8" background="1" saveData="1">
    <dbPr connection="Provider=Microsoft.Mashup.OleDb.1;Data Source=$Workbook$;Location=&quot;District classification&quot;;Extended Properties=&quot;&quot;" command="SELECT * FROM [District classification]"/>
  </connection>
  <connection id="7" xr16:uid="{4EFCDB08-C5A7-45B6-A3B0-E2345E126A6C}" keepAlive="1" name="Query - RestaurantClassification" description="Connection to the 'RestaurantClassification' query in the workbook." type="5" refreshedVersion="8" background="1" saveData="1">
    <dbPr connection="Provider=Microsoft.Mashup.OleDb.1;Data Source=$Workbook$;Location=RestaurantClassification;Extended Properties=&quot;&quot;" command="SELECT * FROM [RestaurantClassification]"/>
  </connection>
  <connection id="8" xr16:uid="{E92D2751-D652-41C9-B9FF-3779165E9978}" keepAlive="1" name="Query - Ward Info(1)" description="Connection to the 'Ward Info' query in the workbook." type="5" refreshedVersion="8" background="1" saveData="1">
    <dbPr connection="Provider=Microsoft.Mashup.OleDb.1;Data Source=$Workbook$;Location=&quot;Ward Info&quot;;Extended Properties=&quot;&quot;" command="SELECT * FROM [Ward Info]"/>
  </connection>
</connections>
</file>

<file path=xl/sharedStrings.xml><?xml version="1.0" encoding="utf-8"?>
<sst xmlns="http://schemas.openxmlformats.org/spreadsheetml/2006/main" count="11739" uniqueCount="1757">
  <si>
    <t>hfpxzc href</t>
  </si>
  <si>
    <t>qBF1Pd</t>
  </si>
  <si>
    <t>MW4etd</t>
  </si>
  <si>
    <t>UY7F9</t>
  </si>
  <si>
    <t>AJB7ye</t>
  </si>
  <si>
    <t>AJB7ye 2</t>
  </si>
  <si>
    <t>W4Efsd</t>
  </si>
  <si>
    <t>W4Efsd 2</t>
  </si>
  <si>
    <t>W4Efsd 3</t>
  </si>
  <si>
    <t>W4Efsd 4</t>
  </si>
  <si>
    <t>W4Efsd 5</t>
  </si>
  <si>
    <t>FQ2IWe src</t>
  </si>
  <si>
    <t>Jn12ke src</t>
  </si>
  <si>
    <t>ah5Ghc</t>
  </si>
  <si>
    <t>ah5Ghc 2</t>
  </si>
  <si>
    <t>ah5Ghc 3</t>
  </si>
  <si>
    <t>doJOZc</t>
  </si>
  <si>
    <t>W4Efsd 6</t>
  </si>
  <si>
    <t/>
  </si>
  <si>
    <t>https://www.google.com/maps/place/Lim+Veggie+Bistro/data=!4m7!3m6!1s0x317529bb1656f27d:0xc74b19bde30c8bc0!8m2!3d10.7810504!4d106.7061501!16s%2Fg%2F11kb92ssq9!19sChIJffJWFrspdTERwIsM470ZS8c?authuser=0&amp;hl=en&amp;rclk=1</t>
  </si>
  <si>
    <t>Lim Veggie Bistro</t>
  </si>
  <si>
    <t>·</t>
  </si>
  <si>
    <t>₫100–200K</t>
  </si>
  <si>
    <t>Vegetarian</t>
  </si>
  <si>
    <t>07 Ngô Văn Năm</t>
  </si>
  <si>
    <t>Closed</t>
  </si>
  <si>
    <t>· Opens 9 AM</t>
  </si>
  <si>
    <t>https://lh3.googleusercontent.com/gps-cs-s/APNQkAHunKOtAwdl9ioe1SSQIakwRsr2tzHaG7CeTpLOWLX7QsDqjVxHokkNNkYxwfD5HT4hvgYy9a3ix1WhwxLbmPC2pQATpubPTkd41P7HyM1lR-U7n2oV45Ays1zQtoCz8egJcnnD=w80-h106-k-no</t>
  </si>
  <si>
    <t>https://ssl.gstatic.com/local/servicebusiness/default_user.png</t>
  </si>
  <si>
    <t>"Exceptional</t>
  </si>
  <si>
    <t>vegan food</t>
  </si>
  <si>
    <t>and atmosphere."</t>
  </si>
  <si>
    <t>https://www.google.com/maps/place/Hoang%E2%80%99s+Kitchen+-+Vietnamese+cuisine+%26+vegan+food+4/data=!4m7!3m6!1s0x31752f000b681f0b:0x4ac289fc569a9d84!8m2!3d10.7813151!4d106.7055893!16s%2Fg%2F11yqvldd8l!19sChIJCx9oCwAvdTERhJ2aVvyJwko?authuser=0&amp;hl=en&amp;rclk=1</t>
  </si>
  <si>
    <t>Hoang’s Kitchen - Vietnamese cuisine &amp; vegan food 4</t>
  </si>
  <si>
    <t>₫200–300K</t>
  </si>
  <si>
    <t>Vegan</t>
  </si>
  <si>
    <t>· Opens 10:30 AM</t>
  </si>
  <si>
    <t>https://lh3.googleusercontent.com/gps-cs-s/APNQkAHlA3b-Bw2gEbXwIqUvvh-gzMqj539dS0Te9ifqzfIG43MXC1P1CXG5iVfqJ6Sl_4ePycjy2xMvtcVqtjjqF1uGuV2XXqkXew7DSnPV3ldHghpivjFRw3gO24ofcY026lzAVR5V_G77nqiE=w137-h92-k-no</t>
  </si>
  <si>
    <t>"lovely meal , very</t>
  </si>
  <si>
    <t>vegetarian</t>
  </si>
  <si>
    <t>friendly and great staff !"</t>
  </si>
  <si>
    <t></t>
  </si>
  <si>
    <t>13/1 Lê Thánh Tôn</t>
  </si>
  <si>
    <t>https://www.google.com/maps/place/CHAY+GARDEN+Nguy%E1%BB%85n+Th%E1%BB%8B+Minh+Khai+-+Vegetarian+Restaurant+%26+Space/data=!4m7!3m6!1s0x31752ffb64ae97c9:0xc6fb1c069a9e660d!8m2!3d10.7851375!4d106.6999919!16s%2Fg%2F11ypknpdb2!19sChIJyZeuZPsvdTERDWaemgYc-8Y?authuser=0&amp;hl=en&amp;rclk=1</t>
  </si>
  <si>
    <t>CHAY GARDEN Nguyễn Thị Minh Khai - Vegetarian Restaurant &amp; Space</t>
  </si>
  <si>
    <t>20 Nguyễn Thị Minh Khai</t>
  </si>
  <si>
    <t>https://lh3.googleusercontent.com/gps-cs-s/APNQkAH4S9HlEUKCUFH0Q1ooB66OOtr4eeHK6701xw7dsVL-8G7KiD6Z4rovvFUrJ4thOo7BWDN_yQH2mXsQ1nozs_TohVYyrE1t5rPZABa6fdMZS2osMeVur3_BvhfXAHW6_IQTX02mTOmwsruc=w122-h92-k-no</t>
  </si>
  <si>
    <t>"Very good</t>
  </si>
  <si>
    <t>vegetarian food</t>
  </si>
  <si>
    <t>, kind service and nice atmosphere."</t>
  </si>
  <si>
    <t>https://www.google.com/maps/place/Be+An+Vegetarian+Bistro/data=!4m7!3m6!1s0x31752ffbfbe36a49:0x9c10bfad0d4fdd69!8m2!3d10.7733531!4d106.7038615!16s%2Fg%2F11fs2zs_3d!19sChIJSWrj-_svdTERad1PDa2_EJw?authuser=0&amp;hl=en&amp;rclk=1</t>
  </si>
  <si>
    <t>Be An Vegetarian Bistro</t>
  </si>
  <si>
    <t>· Opens 10 AM</t>
  </si>
  <si>
    <t>https://lh3.googleusercontent.com/gps-cs-s/APNQkAEU1CqIqin57XcidGk6ah6PF6CGC-B3sucxTGQPlDvQtCGR9f4MwBn15EvfHqBnCpx6kV3PNPsYxR_DvuRe3NpMir62Bp-XCyGmtIafAK_TToiTkRQFokcJ8tGs9ZQl2-zsWg7gxA=w163-h92-k-no</t>
  </si>
  <si>
    <t>"Gorgeous</t>
  </si>
  <si>
    <t>restaurant</t>
  </si>
  <si>
    <t>, lovely staff and the most delicious</t>
  </si>
  <si>
    <t></t>
  </si>
  <si>
    <t>Saigon Garden, 99 Nguyễn Huệ</t>
  </si>
  <si>
    <t>https://www.google.com/maps/place/Be+An+Vegetarian+Bistro/data=!4m7!3m6!1s0x31752fc59340bdeb:0xdf3513c4d4fb4ba!8m2!3d10.7844192!4d106.6977993!16s%2Fg%2F11kjf2bthm!19sChIJ671Ak8UvdTERurRPTTxR8w0?authuser=0&amp;hl=en&amp;rclk=1</t>
  </si>
  <si>
    <t>11B Trần Cao Vân</t>
  </si>
  <si>
    <t>https://lh3.googleusercontent.com/gps-cs-s/APNQkAHibsuIfirO7OLUDGTjST_hWVMzcyZKpxEmpD7lS4SdtgE84_rnYJ-IciglT3hxX2rUccdr0WWIpVboZlcxdCLCX2VliXTjiAriKuIupCTuS4aoynMzYEm0zzWUb9VwoVWVBMg51iK8PrFV=w122-h92-k-no</t>
  </si>
  <si>
    <t>"Amazing</t>
  </si>
  <si>
    <t>, calming atmosphere"</t>
  </si>
  <si>
    <t>https://www.google.com/maps/place/21Grams+Vegetarian/data=!4m7!3m6!1s0x31752f616c7ba2f3:0xf25f36475c2b39b3!8m2!3d10.774103!4d106.7041327!16s%2Fg%2F11ty14p2l3!19sChIJ86J7bGEvdTERszkrXEc2X_I?authuser=0&amp;hl=en&amp;rclk=1</t>
  </si>
  <si>
    <t>21Grams Vegetarian</t>
  </si>
  <si>
    <t>42 Nguyễn Huệ</t>
  </si>
  <si>
    <t>https://lh3.googleusercontent.com/gps-cs-s/APNQkAFkngcmz2-xmSd449CxhPMaYeLzwEElt_gp94-28vwbZv90Yl7QfLdGaGDAlNH_KRqidrLJ6gPP58XzpzZo3DWZ4yIM5_7eUcQJ-Q0DPpgvdLaDcAjSe2QgXFkNtOsI0oNpo5YZR_dbBas=w122-h92-k-no</t>
  </si>
  <si>
    <t>"All</t>
  </si>
  <si>
    <t>vegetarian restaurant</t>
  </si>
  <si>
    <t>with</t>
  </si>
  <si>
    <t>https://www.google.com/maps/place/La+Moi+plant-based+Restaurant/data=!4m7!3m6!1s0x31752fb36bbd2f47:0x35c6b390bd1bdfcf!8m2!3d10.778431!4d106.699046!16s%2Fg%2F11k4qvqc29!19sChIJRy-9a7MvdTERz98bvZCzxjU?authuser=0&amp;hl=en&amp;rclk=1</t>
  </si>
  <si>
    <t>La Moi plant-based Restaurant</t>
  </si>
  <si>
    <t>84 Nguyễn Du</t>
  </si>
  <si>
    <t>· Opens 8 AM</t>
  </si>
  <si>
    <t>https://lh3.googleusercontent.com/gps-cs-s/APNQkAE04LC-88q8eRp257HX27lq04tmuV6V3aPyb08aHoYxINfkj6PbdJsNrCp9CN1fN8y7oWH7TTq6iy__bG96OmyzNtcHGPy6hTv6Im8RRAu8XCAg_SP54rTvLSTuj0x-uEZ1gJLvzepaILU=w80-h106-k-no</t>
  </si>
  <si>
    <t>"The Pad Thai was a flavor explosion, setting a high bar for</t>
  </si>
  <si>
    <t>vegan</t>
  </si>
  <si>
    <t>cuisine."</t>
  </si>
  <si>
    <t>https://www.google.com/maps/place/Heal+and+Celeb+Vegan+Restaurant/data=!4m7!3m6!1s0x317529dc13f3f3b9:0xffd3cac3c0af494c!8m2!3d10.793559!4d106.686756!16s%2Fg%2F11t0rzqfyp!19sChIJufPzE9wpdTERTEmvwMPK0_8?authuser=0&amp;hl=en&amp;rclk=1</t>
  </si>
  <si>
    <t>Heal and Celeb Vegan Restaurant</t>
  </si>
  <si>
    <t>· Opens 9:30 AM</t>
  </si>
  <si>
    <t>https://lh3.googleusercontent.com/gps-cs-s/APNQkAF72KOk2IbqJh_TDp3x1tDExky9otZFhKr_d61hF0KHg0CD8dr5cZi6bQCz6Nvk8mQ5Zh_RNyui-b-WXGhuJcpb_wjNlQ45vAuqMRa2OxlrUrsd5b2v3LxbBP3TlS8sDQSVIipSYS0s14qc=w138-h92-k-no</t>
  </si>
  <si>
    <t>"Every dish was bursting with flavor, showcasing the best of</t>
  </si>
  <si>
    <t>27/1 Nguyễn Văn Nguyễn</t>
  </si>
  <si>
    <t>https://www.google.com/maps/place/Roots+Plant-based+Cafe+-+Ben+Thanh/data=!4m7!3m6!1s0x31752f2c5b5c23f9:0x37dd5beb607c8cff!8m2!3d10.7741206!4d106.6975015!16s%2Fg%2F11xcvlc9qw!19sChIJ-SNcWywvdTER_4x8YOtb3Tc?authuser=0&amp;hl=en&amp;rclk=1</t>
  </si>
  <si>
    <t>Roots Plant-based Cafe - Ben Thanh</t>
  </si>
  <si>
    <t>Brunch</t>
  </si>
  <si>
    <t>113-115 Lý Tự Trọng</t>
  </si>
  <si>
    <t>https://lh3.googleusercontent.com/gps-cs-s/APNQkAHTJcpS-PMu0ii59IXZeIxuwa8iNlC2SA9SS9qm0NQ5NUgGcBMryRvrISQUSfwICILQ_6W0we_ar9fT_bEWSQbzdmmptjMJqLNnRZLvrXGDu06-9rGUzZ863bBDfe3G9vpsu0RajPvQI8fg=w80-h106-k-no</t>
  </si>
  <si>
    <t>"Great</t>
  </si>
  <si>
    <t>in a calm stylish setting."</t>
  </si>
  <si>
    <t>https://www.google.com/maps/place/Santorino+coffee+%26+veggies/data=!4m7!3m6!1s0x3175294056ebc581:0x4844703a35afacdd!8m2!3d10.7886858!4d106.7087982!16s%2Fg%2F11h37m7rc_!19sChIJgcXrVkApdTER3ayvNTpwREg?authuser=0&amp;hl=en&amp;rclk=1</t>
  </si>
  <si>
    <t>Santorino coffee &amp; veggies</t>
  </si>
  <si>
    <t>Opens soon</t>
  </si>
  <si>
    <t>· 7:45 AM</t>
  </si>
  <si>
    <t>https://lh3.googleusercontent.com/gps-cs-s/APNQkAETTMMMK3UYj5S-Io9Xhl1JO4uoAG1hztHqxCRsf1xMFVcTffbCDguMYhbuXtsE2Z3Rp7Tu29jqfYIOQkvc_zkzvru9hOiC1aFnSL3ldtOwpYLc-du65xB-bNQP_iC9ZI_4ODo=w122-h92-k-no</t>
  </si>
  <si>
    <t>"Friendly staff, SO MANY</t>
  </si>
  <si>
    <t>options and really cute vibes inside!"</t>
  </si>
  <si>
    <t>74 Nguyễn Ngọc Phương</t>
  </si>
  <si>
    <t>https://www.google.com/maps/place/Tu%E1%BB%87+Minh+Vegan+Food+%26+Drinks+%7C+Qu%C3%A1n+Chay+Ngon+B%C3%ACnh+Th%E1%BA%A1nh/data=!4m7!3m6!1s0x317529007b12be85:0xdb6ab139bfcbcc1c!8m2!3d10.790118!4d106.7112413!16s%2Fg%2F11y50t524s!19sChIJhb4SewApdTERHMzLvzmxats?authuser=0&amp;hl=en&amp;rclk=1</t>
  </si>
  <si>
    <t>Tuệ Minh Vegan Food &amp; Drinks | Quán Chay Ngon Bình Thạnh</t>
  </si>
  <si>
    <t>Restaurant</t>
  </si>
  <si>
    <t>76C-76D Phạm Viết Chánh</t>
  </si>
  <si>
    <t>https://lh3.googleusercontent.com/gps-cs-s/APNQkAGITNJYyo1b5q_RsZJQLBFrsUvNnUlt0LTq5vdMdLyiyhz4AxlBlCwuw2UFWsOanRNuYWI3euieP7uoMTVid-5uXVLsZjhZHyuH0e7XndKVmX5FSVIBk1K-11VPcH6kUeXXeMiIFjcU-IcC=w163-h92-k-no</t>
  </si>
  <si>
    <t>"Delicious</t>
  </si>
  <si>
    <t>, which is also tasty for people who usually like meat."</t>
  </si>
  <si>
    <t>https://www.google.com/maps/place/N%E1%BA%A5m+-+Vegetarian+Bistro/data=!4m7!3m6!1s0x31752ffe37d3b463:0x31b9b1ae10caf841!8m2!3d10.7888741!4d106.6916512!16s%2Fg%2F11srggl7x8!19sChIJY7TTN_4vdTERQfjKEK6xuTE?authuser=0&amp;hl=en&amp;rclk=1</t>
  </si>
  <si>
    <t>Nấm - Vegetarian Bistro</t>
  </si>
  <si>
    <t>67C Đinh Công Tráng</t>
  </si>
  <si>
    <t>https://lh3.googleusercontent.com/gps-cs-s/APNQkAEJxFkuaxiWrbmlr-6kIPClrIt2uq10LTG4mHLygV5-GFkUDkSgmBPthaY8gxiQ6BAoPfpekyovxfxA_UOYIcJYzVi5bzyWTRknaoVF25g1Jv3OIOx90zte5_c-3l9kZgfzvU6qqzRFjzM=w122-h92-k-no</t>
  </si>
  <si>
    <t>"Really great</t>
  </si>
  <si>
    <t>, friendly staff and a calm atmosphere"</t>
  </si>
  <si>
    <t>https://www.google.com/maps/place/OM+Eatery+-+Vegetarian+%26+Vegan+Food/data=!4m7!3m6!1s0x31752f38023fcab5:0x2352c23a411e03d6!8m2!3d10.7890301!4d106.6908913!16s%2Fg%2F11vhczg2kr!19sChIJtco_AjgvdTER1gMeQTrCUiM?authuser=0&amp;hl=en&amp;rclk=1</t>
  </si>
  <si>
    <t>OM Eatery - Vegetarian &amp; Vegan Food</t>
  </si>
  <si>
    <t>80 Đinh Công Tráng</t>
  </si>
  <si>
    <t>https://lh3.googleusercontent.com/gps-cs-s/APNQkAE7QqUav8a-aes7seT4veYvW1qWddmSWQboh8IbQcPLepnkWckVaeY4iCaamU28xfk0OeRu2BonmN4New9bnuKGSKj7VneWP4IlF_l3tpXtlxk2f-O0g4vZtv8mJtIfALuUSy4Slrxejlk=w122-h92-k-no</t>
  </si>
  <si>
    <t>"It’s both satisfying and guilt-free — a great balance of health and taste."</t>
  </si>
  <si>
    <t>https://www.google.com/maps/place/Hum+Lounge+-+Healthy+Veggies+Delights/data=!4m7!3m6!1s0x31752f78f8ad36e9:0x6b9f0dd3b56322e5!8m2!3d10.7786114!4d106.6920676!16s%2Fg%2F11vqs4_p8x!19sChIJ6Tat-HgvdTER5SJjtdMNn2s?authuser=0&amp;hl=en&amp;rclk=1</t>
  </si>
  <si>
    <t>Hum Lounge - Healthy Veggies Delights</t>
  </si>
  <si>
    <t>34 Võ Văn Tần</t>
  </si>
  <si>
    <t>https://lh3.googleusercontent.com/gps-cs-s/APNQkAEihJqg8vJko8hFo-5cc_G3C5_1BocZ7CYSCW-OKK4Y7nlClYupdkOij-ERQLgsfrfoiPSOuIOkTxBYmwHE1KUU9t0XuqpzY6zqXj_YWiIWDWCldH7LmKH3dVwvPh_-m9u2DNBV=w122-h92-k-no</t>
  </si>
  <si>
    <t>"Refreshing and delicious</t>
  </si>
  <si>
    <t>dishes with friendly staff."</t>
  </si>
  <si>
    <t>https://www.google.com/maps/place/Hikari+Vegetarian+Cafe+Q1/data=!4m7!3m6!1s0x31752fa4d83e812f:0xe1b1994af5985b1e!8m2!3d10.7842945!4d106.7057539!16s%2Fg%2F11w4wcp3bn!19sChIJL4E-2KQvdTERHluY9UqZseE?authuser=0&amp;hl=en&amp;rclk=1</t>
  </si>
  <si>
    <t>Hikari Vegetarian Cafe Q1</t>
  </si>
  <si>
    <t>₫1–100,000</t>
  </si>
  <si>
    <t>Coffee shop</t>
  </si>
  <si>
    <t>· Opens 8:30 AM</t>
  </si>
  <si>
    <t>https://lh3.googleusercontent.com/gps-cs-s/APNQkAHCt9FFrjcfK4dcfmqwk_2uvbCfJCWu07vRA8y5ABMbrB7eZDINE18j8m1yIeJ5UMKx2MmfHPLRFx0PNOBEsQQxzTew7XB96YFaURG_R2NlwgCQBsRn262YsUX2EMyIkr6iiFNA=w80-h106-k-no</t>
  </si>
  <si>
    <t>"The</t>
  </si>
  <si>
    <t>Japanese dish I ordered was delicious!"</t>
  </si>
  <si>
    <t>5/47 Nguyễn Trung Ngạn</t>
  </si>
  <si>
    <t>https://www.google.com/maps/place/%C4%90u+%C4%90%E1%BB%A7+Xanh+%7C+Ti%E1%BB%87m+Chay+.+Vegetarian/data=!4m7!3m6!1s0x31752f8da57b3c39:0x81c6ddef64b28268!8m2!3d10.7863279!4d106.6946945!16s%2Fg%2F11qkk7rf9v!19sChIJOTx7pY0vdTERaIKyZO_dxoE?authuser=0&amp;hl=en&amp;rclk=1</t>
  </si>
  <si>
    <t>Đu Đủ Xanh | Tiệm Chay . Vegetarian</t>
  </si>
  <si>
    <t>· Opens 11 AM</t>
  </si>
  <si>
    <t>https://lh3.googleusercontent.com/gps-cs-s/APNQkAFQV3YSQgXFi2JAQouHGH_ju0tEUUqWBXuvrUmangR_nlMEnAjcUeFg1jwO74A64WSaN1dDrs9Iln0IyuGGNWUn1kWfp2Ajy1EiBPf6vl9VAEpb-6MNc2xDULvUkEE-C2_Q_FBW=w122-h92-k-no</t>
  </si>
  <si>
    <t>"Truly excellent</t>
  </si>
  <si>
    <t>and</t>
  </si>
  <si>
    <t>178A Hai Bà Trưng</t>
  </si>
  <si>
    <t>https://www.google.com/maps/place/T%C3%A2m+T%C3%A2m+Vegetarian+%26+Coffee/data=!4m7!3m6!1s0x31752f0039cee3fd:0x3ac1c8aab080479b!8m2!3d10.7797526!4d106.6855053!16s%2Fg%2F11y8mw3gjz!19sChIJ_ePOOQAvdTERm0eAsKrIwTo?authuser=0&amp;hl=en&amp;rclk=1</t>
  </si>
  <si>
    <t>Tâm Tâm Vegetarian &amp; Coffee</t>
  </si>
  <si>
    <t>Health Food</t>
  </si>
  <si>
    <t>49C Tú Xương</t>
  </si>
  <si>
    <t>https://lh3.googleusercontent.com/gps-cs-s/APNQkAHf_mLZcwanuyzcupEHDV7EoLbqDKeXVvNQuCPL9R7gfY-46O9fJVLYGfSnck9S1p7ttfkuo8uGD5a6ui1-lTDFCEPwezAs0BnOWbbqgAO3VFueF6P_gOy-2Qui-4kLBAkybq3Da9TH5Ow=w122-h92-k-no</t>
  </si>
  <si>
    <t>and great service"</t>
  </si>
  <si>
    <t>https://www.google.com/maps/place/Nh%C3%A0+h%C3%A0ng+chay+Ph%C6%B0%C6%A1ng+Mai/data=!4m7!3m6!1s0x31752f33313de573:0x58300b11d17e58bc!8m2!3d10.7890657!4d106.6921263!16s%2Fg%2F11ddzt26nf!19sChIJc-U9MTMvdTERvFh-0RELMFg?authuser=0&amp;hl=en&amp;rclk=1</t>
  </si>
  <si>
    <t>Nhà hàng chay Phương Mai</t>
  </si>
  <si>
    <t>82/86F, Võ Thị Sáu</t>
  </si>
  <si>
    <t>https://lh3.googleusercontent.com/gps-cs-s/APNQkAGdfwUA1_IUDCwyIbwGy3XGDRLhPpH2BOsjQxpWwxTm6D0BodFG_kE6Sevl5EH0wx_RKxI-LXRmx9Aft1PrLaINlTxNR2LsJ0jyJYGL-PSgbfhvSvG5GWXqL2xj60Nv5znbURSRhRFQsfkJ=w138-h92-k-no</t>
  </si>
  <si>
    <t>/</t>
  </si>
  <si>
    <t>https://www.google.com/maps/place/Shamballa+Vegetarian,+Restaurant+%26+Lounge+-+Sai+Gon/data=!4m7!3m6!1s0x31752fabc8d54ad3:0xc175c07deb731e0d!8m2!3d10.7795135!4d106.7026522!16s%2Fg%2F11jvbdshld!19sChIJ00rVyKsvdTERDR5z633AdcE?authuser=0&amp;hl=en&amp;rclk=1</t>
  </si>
  <si>
    <t>Shamballa Vegetarian, Restaurant &amp; Lounge - Sai Gon</t>
  </si>
  <si>
    <t>https://lh3.googleusercontent.com/gps-cs-s/APNQkAG29z06Ve5f4rJDm3srFRK9ja9ZuFkj7mnSCklsUNHNphy0yUf2XD6KUq4eDQpBrr75D8NQnZxD5oIDOWUXPhcKJ0HwbYDVzHLmQdA_SkgfEA3xlWt67LgXFvCUXpHW2rWi1XKRrE402snb=w122-h92-k-no</t>
  </si>
  <si>
    <t>"Amazing ambience (sitting outside) and served delicious</t>
  </si>
  <si>
    <t>."</t>
  </si>
  <si>
    <t>31 Lý Tự Trọng</t>
  </si>
  <si>
    <t>https://www.google.com/maps/place/M%C4%83ng%27s+Mania+Vegetarian+Restaurant/data=!4m7!3m6!1s0x31752f47bc4175ad:0x88bff037ac27b014!8m2!3d10.7753458!4d106.7029181!16s%2Fg%2F11f3vdjxcn!19sChIJrXVBvEcvdTERFLAnrDfwv4g?authuser=0&amp;hl=en&amp;rclk=1</t>
  </si>
  <si>
    <t>Măng's Mania Vegetarian Restaurant</t>
  </si>
  <si>
    <t>https://lh3.googleusercontent.com/gps-cs-s/APNQkAHtelDHOIZzcuesW-gm9NooNIbg2Hm3B5cA4sjtuPSdPkJ_Gm1fWmOz9YAC8Ukr_L9tdnwRcXueacXoK3bK3b1YyqSrsngXSCiyiw9478ZLYmnUlxkiuOIQBnr4Q3b1ta7bvQY=w122-h92-k-no</t>
  </si>
  <si>
    <t>"I can’t say I’ve tasted better</t>
  </si>
  <si>
    <t>anywhere else, it’s delicious."</t>
  </si>
  <si>
    <t>86 Nguyễn Huệ</t>
  </si>
  <si>
    <t>https://www.google.com/maps/place/Hum+Signature+-+Plant-based+fine+dining/data=!4m7!3m6!1s0x31752f309f992c8b:0x213c2b2d1ba2c2d6!8m2!3d10.7788628!4d106.6920523!16s%2Fg%2F1hg4_mb04!19sChIJiyyZnzAvdTER1sKiGy0rPCE?authuser=0&amp;hl=en&amp;rclk=1</t>
  </si>
  <si>
    <t>Hum Signature - Plant-based fine dining</t>
  </si>
  <si>
    <t>$$</t>
  </si>
  <si>
    <t>· Opens 6 PM</t>
  </si>
  <si>
    <t>https://lh3.googleusercontent.com/gps-cs-s/APNQkAH9NYQ8kzuENgT6xnBbkb7I98p0ogMPTCKy6LE-knvB9E1F_Wug5kcWCDAo_PGQuLAoi-METuiL82QrHYaVLhAwp4-vA7DuKQRcIMs9xHxMhZDwwZOhyVKyxExhSpppufyh2jrD=w122-h92-k-no</t>
  </si>
  <si>
    <t>"A beautiful tranquil setting with excellent</t>
  </si>
  <si>
    <t>32 Võ Văn Tần</t>
  </si>
  <si>
    <t>https://www.google.com/maps/place/Vegan+B%C3%A1nh+Mi/data=!4m7!3m6!1s0x31752f001ae6d3d3:0xb2e6e3061e0bc2ba!8m2!3d10.7862146!4d106.7011551!16s%2Fg%2F11xrdt5k2q!19sChIJ09PmGgAvdTERusILHgbj5rI?authuser=0&amp;hl=en&amp;rclk=1</t>
  </si>
  <si>
    <t>Vegan Bánh Mi</t>
  </si>
  <si>
    <t>16 Nguyễn Thị Minh Khai</t>
  </si>
  <si>
    <t>https://lh3.googleusercontent.com/gps-cs-s/APNQkAFSXAhwfRnQY4h1f8ifcZH_ZUq5-01PsYkmgNp8tkif6infK33TIJ5-gNvm9cHe5w---G6Fc0YtXs1CqWArZ1k-CcLmKuOCIkCdo5ehWCTOztOc9B2PLFGjQk72WDNQ_IVXNSmPwbVEmR25=w80-h106-k-no</t>
  </si>
  <si>
    <t>"Great place for</t>
  </si>
  <si>
    <t>breakfast, lunch etc open 24 hours"</t>
  </si>
  <si>
    <t>https://www.google.com/maps/place/CHAY+GARDEN+V%C3%B5+V%C4%83n+T%E1%BA%A7n+-+Vegetarian+Restaurant+%26+Coffee/data=!4m7!3m6!1s0x31752fff8c8f8461:0x7e220b548354ff32!8m2!3d10.7781582!4d106.69066!16s%2Fg%2F11h22hsnl5!19sChIJYYSPjP8vdTERMv9Ug1QLIn4?authuser=0&amp;hl=en&amp;rclk=1</t>
  </si>
  <si>
    <t>CHAY GARDEN Võ Văn Tần - Vegetarian Restaurant &amp; Coffee</t>
  </si>
  <si>
    <t>https://lh3.googleusercontent.com/gps-cs-s/APNQkAEJQWJYc6W77YpbBW8lGUhipkGMFX9D_p3gM-G9AjLl1Hpkwxz0yVZRHVq5Q_Wti_tEYbGpDP3OE99_J-NnPQthSjqEtx4PeD6BW-sJrMeuOUihOMeGp0ypCRn0RRcMuR1wufbI9WpMtchR=w172-h92-k-no</t>
  </si>
  <si>
    <t>in a clean and beautiful atmosphere."</t>
  </si>
  <si>
    <t>52 Võ Văn Tần</t>
  </si>
  <si>
    <t>https://www.google.com/maps/place/Fingerprint+Chay/data=!4m7!3m6!1s0x317529664f6132b3:0x1d2ab256182a0670!8m2!3d10.7914651!4d106.7048986!16s%2Fg%2F11h6t6hsww!19sChIJszJhT2YpdTERcAYqGFayKh0?authuser=0&amp;hl=en&amp;rclk=1</t>
  </si>
  <si>
    <t>Fingerprint Chay</t>
  </si>
  <si>
    <t>2/1i1, Nguyễn Thị Minh Khai</t>
  </si>
  <si>
    <t>Open</t>
  </si>
  <si>
    <t>· Closes 9 PM</t>
  </si>
  <si>
    <t>https://lh3.googleusercontent.com/gps-cs-s/APNQkAFnhj5hm20ts0d_sE8JkyIrFu-XltGV9LgPt_wkdXLNsezOtqJtRT1pUTb-fDZp1QH0S61hJfhShs6fGHs6_qdUofXSe-YNCi2BGE3rNUHyzOaX2BUJfE60fYj9JNdROVWvqWFk=w122-h92-k-no</t>
  </si>
  <si>
    <t>Bahn mi at a great price."</t>
  </si>
  <si>
    <t>https://www.google.com/maps/place/Atithi+Indian+Vegetarian+Restaurant/data=!4m7!3m6!1s0x31752f623b8c0c27:0x7526c3936d0827bc!8m2!3d10.7721026!4d106.6941655!16s%2Fg%2F11yqspzhpd!19sChIJJwyMO2IvdTERvCcIbZPDJnU?authuser=0&amp;hl=en&amp;rclk=1</t>
  </si>
  <si>
    <t>Atithi Indian Vegetarian Restaurant</t>
  </si>
  <si>
    <t>246 Lý Tự Trọng</t>
  </si>
  <si>
    <t>https://lh3.googleusercontent.com/gps-cs-s/APNQkAFNYvaBbmoWfnZ_17muTTsdS02XlufisLWRr27aoJb0eemYXpr0ezCUu2u8aY9ddkuUD6kmGH7-0pjpONjt3bo6ZfSmCC8maViJ6PXrrtBbpllXh_czXJIHAqYJT1cEGsegXBYn1ss2QC0O=w122-h92-k-no</t>
  </si>
  <si>
    <t>"Fresh and healthy</t>
  </si>
  <si>
    <t>food</t>
  </si>
  <si>
    <t>, sitting very comfortable, reasonable prices"</t>
  </si>
  <si>
    <t>https://www.google.com/maps/place/Hoang%E2%80%99s+Kitchen+-Vietnamese+cuisine+%26+Vegan+food/data=!4m7!3m6!1s0x31752f7c28d2133d:0xf4f42c414b22791c!8m2!3d10.774218!4d106.6966059!16s%2Fg%2F11w236c_vf!19sChIJPRPSKHwvdTERHHkiS0Es9PQ?authuser=0&amp;hl=en&amp;rclk=1</t>
  </si>
  <si>
    <t>Hoang’s Kitchen -Vietnamese cuisine &amp; Vegan food</t>
  </si>
  <si>
    <t>https://lh3.googleusercontent.com/gps-cs-s/APNQkAH5v5T8P__lJoo27qTiEiLxiW5c1IoQuaA22ghN25WFMgvTIUXdfYWXqSrgbaQ_H7ZgXM1QtwjDIONVi0Q3wC2S-H3E4Mu06-IUlS1CpakhwQM3W8o2JYvJFzWR0QaBymqYGtURVdR55dcC=w122-h92-k-no</t>
  </si>
  <si>
    <t>and amazing service!"</t>
  </si>
  <si>
    <t>45 Thủ Khoa Huân</t>
  </si>
  <si>
    <t>https://www.google.com/maps/place/Prem+%26+Pi+Vegetarian+Bistro+-+since+2013/data=!4m7!3m6!1s0x31752f3b3c7990e9:0xccf0c5443c10be6d!8m2!3d10.786464!4d106.694317!16s%2Fg%2F11b6hqmm49!19sChIJ6ZB5PDsvdTERbb4QPETF8Mw?authuser=0&amp;hl=en&amp;rclk=1</t>
  </si>
  <si>
    <t>Prem &amp; Pi Vegetarian Bistro - since 2013</t>
  </si>
  <si>
    <t>https://lh3.googleusercontent.com/gps-cs-s/APNQkAG_FCJuRgyuMQ2FrN6rGaQQrRmwvJbH2zxjXcVYlR8bBnNPEw9AA2B-GAS8pxE9dAVpWKG_yiTAmsGWJ9Wsr4M1mrgCG0Ppu6PnfLqj9OvMZpuxNH98o9tLy1kTp3S-hcllIG0=w163-h92-k-no</t>
  </si>
  <si>
    <t>"Beautiful atmosphere for delicious</t>
  </si>
  <si>
    <t>187/15 Điện Biên Phủ</t>
  </si>
  <si>
    <t>https://www.google.com/maps/place/Vegan+Pho+Nhu+Restaurant/data=!4m7!3m6!1s0x31752f330af86531:0x389be670d1d0c33!8m2!3d10.787003!4d106.6923163!16s%2Fg%2F11h7s4ng65!19sChIJMWX4CjMvdTERMwwdDWe-iQM?authuser=0&amp;hl=en&amp;rclk=1</t>
  </si>
  <si>
    <t>Vegan Pho Nhu Restaurant</t>
  </si>
  <si>
    <t>54 Đ. Trương Quyền</t>
  </si>
  <si>
    <t>https://lh3.googleusercontent.com/gps-cs-s/APNQkAEEbfTeJo5zDdVxViq6ys2ew4ATE_RlS7WQtsG_07SUJchMdXZ2LX0FmNcRHU4E86iVwva_DHW5xWqE-gz7cXFm0C6aE8GVV-sGn9Tx7WlXjtfvmggwlAVO7pY-758VuN32F-o=w163-h92-k-no</t>
  </si>
  <si>
    <t>"Very flavorful, fun, and creative</t>
  </si>
  <si>
    <t>dishes!"</t>
  </si>
  <si>
    <t>https://www.google.com/maps/place/Bong+Sung+Vegetarian+Restaurant/data=!4m7!3m6!1s0x31752f381d81fe73:0x59186104b466e0fc!8m2!3d10.7753458!4d106.6902814!16s%2Fg%2F11clytphpw!19sChIJc_6BHTgvdTER_OBmtARhGFk?authuser=0&amp;hl=en&amp;rclk=1</t>
  </si>
  <si>
    <t>Bong Sung Vegetarian Restaurant</t>
  </si>
  <si>
    <t>· 7:30 AM</t>
  </si>
  <si>
    <t>https://lh3.googleusercontent.com/gps-cs-s/APNQkAERiaamelr50ZMRMe4alVM7pJi_J6UI_wRqztdUNVOFriw-mjuCN1t2qpVV_CYjyg0TDJIS-JZzRsrMsvkr5Dafl1YNxdknXCnlfVnoaiFhfgCBBPgjG4tVXHayEVv5tuGlGQwysQ41ufjj=w163-h92-k-no</t>
  </si>
  <si>
    <t>was great and delicious, and the staff were very friendly!"</t>
  </si>
  <si>
    <t>4 Bà Huyện Thanh Quan</t>
  </si>
  <si>
    <t>https://www.google.com/maps/place/IVEGAN+SUPERSHOP+BEN+THANH+-+HEALTHY+PLANT+BASED+CAFE/data=!4m7!3m6!1s0x317527178384a5e9:0x6bd0b476886d57!8m2!3d10.7716643!4d106.6950738!16s%2Fg%2F11kqq40qrz!19sChIJ6aWEgxcndTERV22IdrTQawA?authuser=0&amp;hl=en&amp;rclk=1</t>
  </si>
  <si>
    <t>IVEGAN SUPERSHOP BEN THANH - HEALTHY PLANT BASED CAFE</t>
  </si>
  <si>
    <t>29 Lê Anh Xuân</t>
  </si>
  <si>
    <t>https://lh3.googleusercontent.com/gps-cs-s/APNQkAHvN7yMO2aOrkk636VjUsjsCUuEoovgG8Fpg8kriJhyAmLmCU3Sq1V9Zv995oJF8a4dSoj6OZi2FbCX_-W6Od5W8ztgPl7qTZr4QLh7NM5s6btaBCA_dk6LmP-rOzy9tE1R8UmmqFBsP0od=w80-h106-k-no</t>
  </si>
  <si>
    <t>, cute cozy space and nice staff."</t>
  </si>
  <si>
    <t>https://www.google.com/maps/place/Here+%26+Now+Vegetarian+%28Restaurant+%26+coffee%29/data=!4m7!3m6!1s0x317529b04721988d:0xcf571837c81a5526!8m2!3d10.7898785!4d106.7109045!16s%2Fg%2F11fj8j6x8c!19sChIJjZghR7ApdTERJlUayDcYV88?authuser=0&amp;hl=en&amp;rclk=1</t>
  </si>
  <si>
    <t>Here &amp; Now Vegetarian (Restaurant &amp; coffee)</t>
  </si>
  <si>
    <t>· Opens 10 AM Wed</t>
  </si>
  <si>
    <t>https://lh3.googleusercontent.com/gps-cs-s/APNQkAGxGWqknxDB3NkVSnptepTQbkPIuGjrljJuHIDim8maSi__V9qjHB4iMFp67DA-iadRwvCO6LbhO6AamxlepSxKvTc-LFIV2hX06qvqgIfjPF34FUFVZUXEyIHpHv_rlQnxsBg=w138-h92-k-no</t>
  </si>
  <si>
    <t>in a calm and inviting atmosphere"</t>
  </si>
  <si>
    <t>74/1 Phạm Viết Chánh</t>
  </si>
  <si>
    <t>https://www.google.com/maps/place/Chay+Tu%E1%BB%87+Nh%C3%A0+H%C3%A0ng+Buffet/data=!4m7!3m6!1s0x31752964f496b5bd:0xe27ec36454a221a!8m2!3d10.791975!4d106.6983939!16s%2Fg%2F11t4yh0y3p!19sChIJvbWW9GQpdTERGiJKRTbsJw4?authuser=0&amp;hl=en&amp;rclk=1</t>
  </si>
  <si>
    <t>Chay Tuệ Nhà Hàng Buffet</t>
  </si>
  <si>
    <t>https://lh3.googleusercontent.com/gps-cs-s/APNQkAFoyg6EVlbzMZG0cMfeeR9G2Y70reKfcdZx3PLQhvN1Touf2TzOk2MUhgH-9_RmMNI_1i05umxKNmwgSLa3wKMtYA-EJESZYWB5mA-rpFmZ8c-h4FL02Q_WF7-hb-a-jJBK8hyZSw=w122-h92-k-no</t>
  </si>
  <si>
    <t>dishes are beautifully presented and are perfectly balanced."</t>
  </si>
  <si>
    <t>76 Mai Thị Lựu</t>
  </si>
  <si>
    <t>https://www.google.com/maps/place/CHAY+TU%E1%BB%86+%C4%90%C4%82NG+QUANG+%7C+Qu%C3%A1n+Chay+G%E1%BA%A7n+%C4%90%C3%A2y+-+Qu%E1%BA%ADn+3+%7C+Vegetarian+Restaurant+near+here/data=!4m7!3m6!1s0x31752f38875e271d:0x24634d76745f0827!8m2!3d10.7900213!4d106.6794503!16s%2Fg%2F11x83jyqv0!19sChIJHSdehzgvdTERJwhfdHZNYyQ?authuser=0&amp;hl=en&amp;rclk=1</t>
  </si>
  <si>
    <t>CHAY TUỆ ĐĂNG QUANG | Quán Chay Gần Đây - Quận 3 | Vegetarian Restaurant near here</t>
  </si>
  <si>
    <t>Trần Quang Diệu</t>
  </si>
  <si>
    <t>· Closes 8 PM</t>
  </si>
  <si>
    <t>https://lh3.googleusercontent.com/gps-cs-s/APNQkAEqZsdOBJADu0NR5rZGHwWOXag86RUl2XRleCUnoYt3mnQGN4WndWgagg0VpwKIfy1-LgBuZlIzn1sseRDOcQa_S_JPXPlziGBhMYrZ_sw_oTugSxG_RHsezpZWLxTujN1aWviT1q8fAMY=w122-h92-k-no</t>
  </si>
  <si>
    <t>"Delicious authentic</t>
  </si>
  <si>
    <t>with a friendly owner"</t>
  </si>
  <si>
    <t>https://www.google.com/maps/place/Nh%C3%A0+h%C3%A0ng+chay+Tami+Coffee+%26+Chay+%28Vegetarian+Restaurant%29/data=!4m7!3m6!1s0x3175295346d263c5:0x1b5a8703297ffe62!8m2!3d10.7957227!4d106.6708338!16s%2Fg%2F11tnwjds5d!19sChIJxWPSRlMpdTERYv5_KQOHWhs?authuser=0&amp;hl=en&amp;rclk=1</t>
  </si>
  <si>
    <t>Nhà hàng chay Tami Coffee &amp; Chay (Vegetarian Restaurant)</t>
  </si>
  <si>
    <t>33 Hoàng Diệu</t>
  </si>
  <si>
    <t>· Closes 10 PM</t>
  </si>
  <si>
    <t>https://lh3.googleusercontent.com/gps-cs-s/APNQkAFy9OjJH9afm_yoc3UrBUQDyqNAmRRhwLAvTLmUFp8Bff37Fp7hiyPsKHLsgcFfEloZ42-VNN8MuLyZljE79rR3RDO0KivQ6nEyZk3jjNWN_eQsrMyxijOb5gD1au-19fD69rNpun6zMJ0=w122-h92-k-no</t>
  </si>
  <si>
    <t>"The best</t>
  </si>
  <si>
    <t>I ever had in Ho Chi Minh City with the perfect ambience"</t>
  </si>
  <si>
    <t>https://www.google.com/maps/place/%E1%BA%A8m+Th%E1%BB%B1c+Chay+An/data=!4m7!3m6!1s0x3175292adfc60d67:0xec342f7e58dad6a!8m2!3d10.7801786!4d106.7038071!16s%2Fg%2F11fnwh8tjf!19sChIJZw3G3yopdTERaq2N5fdCww4?authuser=0&amp;hl=en&amp;rclk=1</t>
  </si>
  <si>
    <t>Ẩm Thực Chay An</t>
  </si>
  <si>
    <t>30 Thái Văn Lung</t>
  </si>
  <si>
    <t>https://lh3.googleusercontent.com/gps-cs-s/APNQkAGebK7bthWCC67c-9zRQgjvU9XpNv9iUrrsk3pIiEVwf4zE2VSJFFzHC4N6-Vb4XPItxpbccM8vlVx_bz9mKwc-PAky-srpl5KIi84qhE_hcyWB5STbjE5Nb8bSRVM7OnTk8FZi=w80-h106-k-no</t>
  </si>
  <si>
    <t>"</t>
  </si>
  <si>
    <t>spot in d1 in Saigon with a large variety of</t>
  </si>
  <si>
    <t>https://www.google.com/maps/place/Tanishq+Indian+Vegetarian+Restaurant/data=!4m7!3m6!1s0x31752f005cdd2991:0x5e8b095e1f1ff220!8m2!3d10.7719456!4d106.6939273!16s%2Fg%2F11w9kmg0rf!19sChIJkSndXAAvdTERIPIfH14Ji14?authuser=0&amp;hl=en&amp;rclk=1</t>
  </si>
  <si>
    <t>Tanishq Indian Vegetarian Restaurant</t>
  </si>
  <si>
    <t>Indian</t>
  </si>
  <si>
    <t>258 Lý Tự Trọng</t>
  </si>
  <si>
    <t>https://lh3.googleusercontent.com/gps-cs-s/APNQkAFNoNjojfojUoi_qdrHv96Ejls4hgZV2uGACIbH5YDtYZNI517fD7oOIURCtDdXp2sWJZ7oFskMtQY-lL3OkgS0EopkZxkxVnT69IH3cj20gp6wVM4uIf0aMxePXOP1blqxzVxJm72a8_fC=w163-h92-k-no</t>
  </si>
  <si>
    <t>"We are</t>
  </si>
  <si>
    <t>and left completely full and happy."</t>
  </si>
  <si>
    <t>https://www.google.com/maps/place/Qu%C3%A1n+Chay+Nh%C3%A0+T%C3%B4i+Vegan/data=!4m7!3m6!1s0x31752f0633e21f63:0xfe2d2b3e975465f!8m2!3d10.7883804!4d106.6974632!16s%2Fg%2F11h1z213jn!19sChIJYx_iMwYvdTERX0Z16bPS4g8?authuser=0&amp;hl=en&amp;rclk=1</t>
  </si>
  <si>
    <t>Quán Chay Nhà Tôi Vegan</t>
  </si>
  <si>
    <t>· Closes 11 PM</t>
  </si>
  <si>
    <t>https://lh3.googleusercontent.com/gps-cs-s/APNQkAEDRk_xF9xGzvnlFbaofRpcrACAlLy7cWljJH4AQh6fSjdKny3O9Z-71PLlzj8FYegym_qwWS8ONCU2s1o1XX9EA47p-6HpGecTmubjrJDeyqKE-e_eAQk429rudcKCU9nh36v2rQ=w122-h92-k-no</t>
  </si>
  <si>
    <t>"Really delicious</t>
  </si>
  <si>
    <t>noodle dish, friendly staff, reasonable prices."</t>
  </si>
  <si>
    <t>124 Nguyễn Văn Thủ</t>
  </si>
  <si>
    <t>https://www.google.com/maps/place/C%C6%A1m+Chay+Thi%E1%BB%87n+Quang+2+%28Vegetarian+restaurant%29/data=!4m7!3m6!1s0x31752fa2a1016a31:0xda1d5e0e43d45645!8m2!3d10.7838305!4d106.7053702!16s%2Fg%2F11qprvz6lb!19sChIJMWoBoaIvdTERRVbUQw5eHdo?authuser=0&amp;hl=en&amp;rclk=1</t>
  </si>
  <si>
    <t>Cơm Chay Thiện Quang 2 (Vegetarian restaurant)</t>
  </si>
  <si>
    <t>15 Nguyễn Trung Ngạn</t>
  </si>
  <si>
    <t>https://lh3.googleusercontent.com/gps-cs-s/APNQkAEsatm9qZ7UY9Fg6cT6_4t9ijAC53jAFSISRmeLNO2PwwlUevdjPJIghDc74K4ept3_tcXSnFfH8zUBoxOlaHhEBgi5QjHaDtlQzjQUMyGYRnJlHf_gbQAwXqzKWo_eZdTk0EQ=w80-h106-k-no</t>
  </si>
  <si>
    <t>"Simple</t>
  </si>
  <si>
    <t>with just the right balance of healthy and fried."</t>
  </si>
  <si>
    <t>https://www.google.com/maps/place/Qu%C3%A1n+Chay+Nh%C3%A0/data=!4m7!3m6!1s0x31752f340692928b:0x61eacdc50902ff1a!8m2!3d10.784771!4d106.7003131!16s%2Fg%2F11s5p3rl3t!19sChIJi5KSBjQvdTERGv8CCcXN6mE?authuser=0&amp;hl=en&amp;rclk=1</t>
  </si>
  <si>
    <t>Quán Chay Nhà</t>
  </si>
  <si>
    <t>· Opens 10:45 AM</t>
  </si>
  <si>
    <t>https://lh3.googleusercontent.com/gps-cs-s/APNQkAElgkjtvRSRhHINWdcGnkkF9Va6JDf2lBhgIQxV4tEDIClYLOTVn4UHhabCwoPRVq-dT7fESZ5gKKgx20IKRitubmYEfCGhv_MD4yu1Cs4jN9bhA1_t62OyWTdXMi26EwU25NMp5w=w122-h92-k-no</t>
  </si>
  <si>
    <t>"They serve all veggie buffet and the flavours are delicious."</t>
  </si>
  <si>
    <t>19/14 Nguyễn Thị Minh Khai</t>
  </si>
  <si>
    <t>https://www.google.com/maps/place/Buffet+Chay+C%E1%BB%8F+N%E1%BB%99i+Vegetarian/data=!4m7!3m6!1s0x31752f9f959154e7:0xedb6b3f43a48a30b!8m2!3d10.7750885!4d106.7037454!16s%2Fg%2F11gr5_vr46!19sChIJ51SRlZ8vdTERC6NIOvSztu0?authuser=0&amp;hl=en&amp;rclk=1</t>
  </si>
  <si>
    <t>Buffet Chay Cỏ Nội Vegetarian</t>
  </si>
  <si>
    <t>Khách sạn Bông Sen Sài Gòn, Tầng 7, 123 Đồng Khởi</t>
  </si>
  <si>
    <t>https://lh3.googleusercontent.com/gps-cs-s/APNQkAFb2KSK88V9JCnEAdJljfeRJ8lJYQ8-p5F8FYtGn89wvvCvKG6uIcu5bP58GfdPB-ywRUzA1nuT5P-IRFMtu4JDdsKaQ5I70abwggV3YcbGt2Pp03U-rD4HPC_GXdtZOnrmnLTl=w122-h92-k-no</t>
  </si>
  <si>
    <t>"Incredibly tasty</t>
  </si>
  <si>
    <t>Asian buffet at $8 per head!"</t>
  </si>
  <si>
    <t>https://www.google.com/maps/place/Pham+Hong+Phuoc+Vegetarian+Restaurant/data=!4m7!3m6!1s0x317528ca19ac684b:0xe4efe59193e4180!8m2!3d10.794144!4d106.6986019!16s%2Fg%2F11bx1slls2!19sChIJS2isGcoodTERgEE-GVn-Tg4?authuser=0&amp;hl=en&amp;rclk=1</t>
  </si>
  <si>
    <t>Pham Hong Phuoc Vegetarian Restaurant</t>
  </si>
  <si>
    <t>https://lh3.googleusercontent.com/gps-cs-s/APNQkAHiV10xHt51EBTd0vTH30fgrmlMNZE1wyvLOlJaLh0rYKIriXaIv76GsJXLsKiP3BkJPNXyV5c6R9eZTGLjAO2AsDfIUo2YZ-v1pjh10eIB9h_YfZE7eScaexRMBvR6qNg9PJNF=w140-h92-k-no</t>
  </si>
  <si>
    <t>"Everything is tasty &amp; flavorful even if you're not into</t>
  </si>
  <si>
    <t>140 Trường Sa</t>
  </si>
  <si>
    <t>https://www.google.com/maps/place/Buddha+Chay+Phi+Nhung/data=!4m7!3m6!1s0x317528cd804774e1:0x6555157e6637bdaf!8m2!3d10.7926717!4d106.6881952!16s%2Fg%2F11bxd_hc17!19sChIJ4XRHgM0odTERr703Zn4VVWU?authuser=0&amp;hl=en&amp;rclk=1</t>
  </si>
  <si>
    <t>Buddha Chay Phi Nhung</t>
  </si>
  <si>
    <t>31 Đặng Tất</t>
  </si>
  <si>
    <t>https://lh3.googleusercontent.com/gps-cs-s/APNQkAEzhPQ03N_iGHrzDnUFCIx9M__pIb_GBjbRkc0sYyj0UnmmgNTVRoDlVKzPUTN2gQJ0sY7YLbwvqWXd52RPkgs5t0ZaX-V5Kj4UwCOcYjytNI8ipoOrmYBR8zdLZ7-z9yLpyYvdQj7VE9M=w206-h92-k-no</t>
  </si>
  <si>
    <t>"Tasty</t>
  </si>
  <si>
    <t>, unique cosy atmosphere and good service."</t>
  </si>
  <si>
    <t>https://www.google.com/maps/place/Nh%C3%A0+H%C3%A0ng+Thu%E1%BA%A7n+Chay+B%C3%80+X%C3%83+-+CN+Nguy%E1%BB%85n+V%C4%83n+Tr%E1%BB%97i+-+Vegan+Restaurant/data=!4m7!3m6!1s0x3175297b515f2c5d:0x51192a3bbc313fd5!8m2!3d10.7923038!4d106.680166!16s%2Fg%2F11q2xy58j2!19sChIJXSxfUXspdTER1T8xvDsqGVE?authuser=0&amp;hl=en&amp;rclk=1</t>
  </si>
  <si>
    <t>Nhà Hàng Thuần Chay BÀ XÃ - CN Nguyễn Văn Trỗi - Vegan Restaurant</t>
  </si>
  <si>
    <t>https://lh3.googleusercontent.com/gps-cs-s/APNQkAHadEUUH0wQVpK4Czm607MdxBXxrT1R7xW5NUjvV64-vHCWu81XUJSPThfXQigwdbQuThHJ4qvGw_Y_JNUpln9Ea6M4LidY8G6o9u95p2yF05OibKfY0FBfGeK-PDrLRjwZGZrB=w163-h92-k-no</t>
  </si>
  <si>
    <t>, quiet place suitable for</t>
  </si>
  <si>
    <t>21G Đ. Nguyễn Văn Trỗi</t>
  </si>
  <si>
    <t>https://www.google.com/maps/place/H%C6%B0%C6%A1ng+B%E1%BB%91n+M%C3%B9a+Coffee/data=!4m7!3m6!1s0x31752f92ee2dc7df:0x2415fa6a33541a3a!8m2!3d10.7868864!4d106.6922142!16s%2Fg%2F11kj8p4vb8!19sChIJ38ct7pIvdTEROhpUM2r6FSQ?authuser=0&amp;hl=en&amp;rclk=1</t>
  </si>
  <si>
    <t>Hương Bốn Mùa Coffee</t>
  </si>
  <si>
    <t>Đ. Trương Quyền</t>
  </si>
  <si>
    <t>· Closes 7:30 PM</t>
  </si>
  <si>
    <t>https://lh3.googleusercontent.com/gps-cs-s/APNQkAF8YjKMYi5wtwObXi0-Sh3HEy8wvZaIICa8TYaIZL1Rl6vouzW3bV_BWPObNVZhk9lqdfu6q1tMVzRr-nlP4NudNNU_3xx8BZvkj8FSuGWxHBWKTO-ejYANppl5AkTAthW6Hv0Nig=w112-h92-k-no</t>
  </si>
  <si>
    <t>"The taste was incredible—I could hardly believe it was plant-based!"</t>
  </si>
  <si>
    <t>https://www.google.com/maps/place/Ph%E1%BB%9F+Chay+Nh%C6%B0/data=!4m7!3m6!1s0x31752f33a1d4c2a9:0x99175b5e20d2bce8!8m2!3d10.787003!4d106.6923163!16s%2Fg%2F1thw46ty!19sChIJqcLUoTMvdTER6LzSIF5bF5k?authuser=0&amp;hl=en&amp;rclk=1</t>
  </si>
  <si>
    <t>Phở Chay Như</t>
  </si>
  <si>
    <t>https://lh3.googleusercontent.com/gps-cs-s/APNQkAHi5uWQEEv6EKDZ1-fJI9__u1n7sUK5MPNrDr0tUKHRAhbinsUunz2e13_IORtSsaiQCLSTwlxv_iWj7JmjJSFk2wqBgB_TJm-Zwh40aBEos74VqHjM3PoYbleEO4htBnDaUF8__A=w92-h92-k-no</t>
  </si>
  <si>
    <t>"Crazy good</t>
  </si>
  <si>
    <t>, very good value, and</t>
  </si>
  <si>
    <t>https://www.google.com/maps/place/L%E1%BA%A9u+N%E1%BA%A5m+Chay+An+Nhi%C3%AAn+%28Chi+nh%C3%A1nh+Nguy%E1%BB%85n+V%C4%83n+Th%E1%BB%A7,+%C4%90akao+Q1+v%C3%A0+Chi+nh%C3%A1nh+Ph%E1%BA%A1m+Ng%C5%A9+L%C3%A3o+p3+G%C3%B2+V%E1%BA%A5p%29/data=!4m7!3m6!1s0x31752f35315c872d:0xe4f0007396cdc597!8m2!3d10.7883672!4d106.6974502!16s%2Fg%2F11f55kzxq9!19sChIJLYdcMTUvdTERl8XNlnMA8OQ?authuser=0&amp;hl=en&amp;rclk=1</t>
  </si>
  <si>
    <t>Lẩu Nấm Chay An Nhiên (Chi nhánh Nguyễn Văn Thủ, Đakao Q1 và Chi nhánh Phạm Ngũ Lão p3 Gò Vấp)</t>
  </si>
  <si>
    <t>https://lh3.googleusercontent.com/gps-cs-s/APNQkAG3UbsT4k0i8pvJmNUqdBnSa-WzjYyA1BMOjWzSp-qhRczSLmruENrqhDOpab3byLqvdUrSjnpdPjvV-dUVy2vcLc7GIaZT1rtrfTc1m9K3-nRtspSTrVdSQsXQ9gBQX2nC-SM=w163-h92-k-no</t>
  </si>
  <si>
    <t>"Wonderful vegitarian</t>
  </si>
  <si>
    <t>, very helpful and friendly staff."</t>
  </si>
  <si>
    <t>126 Nguyễn Văn Thủ</t>
  </si>
  <si>
    <t>https://www.google.com/maps/place/Ph%C6%B0%E1%BB%9Bc+Duy%C3%AAn+Chay/data=!4m7!3m6!1s0x317529146c49d789:0x825751b69ef10705!8m2!3d10.792312!4d106.697673!16s%2Fg%2F11h4qbd_71!19sChIJiddJbBQpdTERBQfxnrZRV4I?authuser=0&amp;hl=en&amp;rclk=1</t>
  </si>
  <si>
    <t>Phước Duyên Chay</t>
  </si>
  <si>
    <t>· Closes 2 PM · Reopens 4 PM</t>
  </si>
  <si>
    <t>https://lh3.googleusercontent.com/gps-cs-s/APNQkAGu4RTzlL2zjEWOr7WF2BFRkP7pXNg8z4y4vwqh--BfmlpVzb4MsLmw0tYXzJKJixXMD7pjUKtOWXDbRj7fSVhjPCYyay6U0p_6T9FVRGYLK6nZDo0WXcBoOD5f9bu70AgJX5bkVg=w122-h92-k-no</t>
  </si>
  <si>
    <t>"Excellent</t>
  </si>
  <si>
    <t>, super friendly staff and lovely atmosphere."</t>
  </si>
  <si>
    <t>95 Mai Thị Lựu</t>
  </si>
  <si>
    <t>https://www.google.com/maps/place/Nh%C3%A0+h%C3%A0ng+thu%E1%BA%A7n+chay+Ngon+Vegan+Dining+%26+Cafe+-+Tr%E1%BA%A7n+Cao+V%C3%A2n/data=!4m7!3m6!1s0x31752f005f2a10c3:0xe910019d74900f91!8m2!3d10.7844858!4d106.6975065!16s%2Fg%2F11yb67g06h!19sChIJwxAqXwAvdTERkQ-QdJ0BEOk?authuser=0&amp;hl=en&amp;rclk=1</t>
  </si>
  <si>
    <t>Nhà hàng thuần chay Ngon Vegan Dining &amp; Cafe - Trần Cao Vân</t>
  </si>
  <si>
    <t>https://lh3.googleusercontent.com/gps-cs-s/APNQkAFpI5tfcuPwi1764gWMn7Xek3S8o-PS4QVJtB3JF73iKHJmoClZRvOzM13jWbCNCC4DO7K6f2bJLzgwq7IuBmYrVR0UjS8MPXygEU5gglrzwjutiF2vK9S_hDgLY17YYJrAzb4To0A8pGk=w122-h92-k-no</t>
  </si>
  <si>
    <t>, a really cozy atmosphere, and very generous portions."</t>
  </si>
  <si>
    <t>16 Trần Cao Vân</t>
  </si>
  <si>
    <t>https://www.google.com/maps/place/B%E1%BA%BFp+Chay+%26+Cafe+NH%C3%80+M%E1%BA%A4Y+D%C3%8C/data=!4m7!3m6!1s0x3175298fe06f3bbd:0xcf0b8de597c559c!8m2!3d10.795483!4d106.7101379!16s%2Fg%2F11sw0vlbpy!19sChIJvTtv4I8pdTERnFV8Wd648Aw?authuser=0&amp;hl=en&amp;rclk=1</t>
  </si>
  <si>
    <t>Bếp Chay &amp; Cafe NHÀ MẤY DÌ</t>
  </si>
  <si>
    <t>80 Xô Viết Nghệ Tĩnh</t>
  </si>
  <si>
    <t>https://lh3.googleusercontent.com/gps-cs-s/APNQkAGasCU95XDbC2UNRmdsPJB76EgtedeHQQ6704IA7rVlwGsVTBqWSqg_8jZlujvq9RO8tSA-tGFQfI5dN0qALucsP4V599UEvTiLzio5qrbXzs6d6lWFRk6cDW2Idaauc88TMS0H=w80-h106-k-no</t>
  </si>
  <si>
    <t>place on the water, cool view and tasty dishes"</t>
  </si>
  <si>
    <t>https://www.google.com/maps/place/V%C6%AF%E1%BB%9CN+CHAY+GI%C3%81C+DUY%C3%8AN+-+BUFFET+L%E1%BA%A8U+CHAY%7C+BUFFET+CHAY+QU%E1%BA%ACN+1/data=!4m7!3m6!1s0x317529004ab4712f:0x7b9164eaa75b743e!8m2!3d10.7926748!4d106.6911361!16s%2Fg%2F11x8fcjl0p!19sChIJL3G0SgApdTERPnRbp-pkkXs?authuser=0&amp;hl=en&amp;rclk=1</t>
  </si>
  <si>
    <t>VƯỜN CHAY GIÁC DUYÊN - BUFFET LẨU CHAY| BUFFET CHAY QUẬN 1</t>
  </si>
  <si>
    <t>19 Trần Khắc Chân</t>
  </si>
  <si>
    <t>https://lh3.googleusercontent.com/gps-cs-s/APNQkAHIaO6fKK8cTnMG3JlcOfL5iSkphHrDt3mHjHV44vBXVtOIwzLQzkHu27RzJ3QFs35R4zvk_RnJqsB-W8ZMI5eiICmPIcdes2uV_hTmbFirkH_A01A6xOrHU4w7yUD2Ze835khl=w122-h92-k-no</t>
  </si>
  <si>
    <t>"Overall, a wholesome and delicious</t>
  </si>
  <si>
    <t>experience."</t>
  </si>
  <si>
    <t>https://www.google.com/maps/place/Nh%C3%A0+H%C3%A0ng+Thu%E1%BA%A7n+Chay+B%C3%80+X%C3%83+-+CN+Tr%C6%B0%C6%A1ng+%C4%90%E1%BB%8Bnh+-+Vegan+Restaurant/data=!4m7!3m6!1s0x31752f244e07201f:0x53563bf15a0e7a59!8m2!3d10.7787053!4d106.6885592!16s%2Fg%2F11h4d6p37q!19sChIJHyAHTiQvdTERWXoOWvE7VlM?authuser=0&amp;hl=en&amp;rclk=1</t>
  </si>
  <si>
    <t>Nhà Hàng Thuần Chay BÀ XÃ - CN Trương Định - Vegan Restaurant</t>
  </si>
  <si>
    <t>https://lh3.googleusercontent.com/gps-cs-s/APNQkAFnLiUQoud0OCaQTSHlwViLB02PoHy9Ge5t-7tpbP1jkArBqzWttM6AOpTmkotXDIq_NF_e81yluEskh_5N8fveUR07xY7DKM3ej8ROUk_oN5-rifNmrnKM6A73nYvW_J7WOSnI=w122-h92-k-no</t>
  </si>
  <si>
    <t>fish and beef were incredible too."</t>
  </si>
  <si>
    <t>107K Trương Định</t>
  </si>
  <si>
    <t>https://www.google.com/maps/place/Qu%C3%A1n+chay+L%C3%A1+%7C+Vegetarian+Restaurant/data=!4m7!3m6!1s0x31752f4e4d07f6c5:0xff498675a1cc48c6!8m2!3d10.7864414!4d106.6923565!16s%2Fg%2F11sv_2sb0j!19sChIJxfYHTU4vdTERxkjMoXWGSf8?authuser=0&amp;hl=en&amp;rclk=1</t>
  </si>
  <si>
    <t>Quán chay Lá | Vegetarian Restaurant</t>
  </si>
  <si>
    <t>https://lh3.googleusercontent.com/gps-cs-s/APNQkAGUJRKLetWTvVImRYXaX74Dv_Csy14IOzfLmu9NfJF3RONd_frlOhWFF_VQtHvsO7U0-HgBpvtmuvR4-oO1Y2V2-cJPDY8HWx1-aF8kK6v1RW9EmvQv1F-eUxMf3wnOokiIXm2nxWx2ZUA=w163-h92-k-no</t>
  </si>
  <si>
    <t>and for an unbeatable price!!"</t>
  </si>
  <si>
    <t>66/10 Phạm Ngọc Thạch</t>
  </si>
  <si>
    <t>https://www.google.com/maps/place/San+May+Cafe+%26+Vegetarian+Restaurant/data=!4m7!3m6!1s0x31752f351f00d393:0x2a4665bbd901d58f!8m2!3d10.7889806!4d106.6982583!16s%2Fg%2F1q6h_yzwz!19sChIJk9MAHzUvdTERj9UB2btlRio?authuser=0&amp;hl=en&amp;rclk=1</t>
  </si>
  <si>
    <t>San May Cafe &amp; Vegetarian Restaurant</t>
  </si>
  <si>
    <t>https://lh3.googleusercontent.com/gps-cs-s/APNQkAFt3jwkS7JqoLNYu5HpqOpB1jOzqSmoJ1OOvOzDIoxHOUr6_lhYT9LGQ-K9PofKfSuiQ8zYmkJqZU76ocfxIg9MiUhsEaHDLpv-dKJbwemox9EzduItjw_7NPCllHjoXmRrmOav=w122-h92-k-no</t>
  </si>
  <si>
    <t>with lots of different and interesting options."</t>
  </si>
  <si>
    <t>155 Nguyễn Văn Thủ</t>
  </si>
  <si>
    <t>https://www.google.com/maps/place/Bon%E2%80%99s+Vegan+Bistro+-+B%C3%A1nh+M%C3%AC+%26+Coffee/data=!4m7!3m6!1s0x31752fac15ce84d1:0xb3ae51a8927c2cb!8m2!3d10.7702529!4d106.7020348!16s%2Fg%2F11j72t29ws!19sChIJ0YTOFawvdTERy8IniRrlOgs?authuser=0&amp;hl=en&amp;rclk=1</t>
  </si>
  <si>
    <t>Bon’s Vegan Bistro - Bánh Mì &amp; Coffee</t>
  </si>
  <si>
    <t>89/8 Hàm Nghi</t>
  </si>
  <si>
    <t>https://lh3.googleusercontent.com/gps-cs-s/APNQkAFxWFaxzpAxn7CuO0QjWwcTOVrEzl5mqwefvAoRlvt5NQIvmiP1XRHk4qOCyDiZN4SmJ5_Uv9UBANL0Y3uS-MzC4b9epGxIAyOYeAD1FWU9jf4BHq7iiL0j6-qLu8WrwOVUpRiybROyJ7R_=w122-h92-k-no</t>
  </si>
  <si>
    <t>, the loveliest service and a beautiful environment."</t>
  </si>
  <si>
    <t>https://www.google.com/maps/place/Vegan+Kitchen+An+Nhien+Vien/data=!4m7!3m6!1s0x31752f00203f4c53:0xc832b8014a4368ca!8m2!3d10.7757216!4d106.6747094!16s%2Fg%2F11xkn9xvrq!19sChIJU0w_IAAvdTERymhDSgG4Msg?authuser=0&amp;hl=en&amp;rclk=1</t>
  </si>
  <si>
    <t>Vegan Kitchen An Nhien Vien</t>
  </si>
  <si>
    <t>392/20/64, Cao Thắng</t>
  </si>
  <si>
    <t>https://lh3.googleusercontent.com/gps-cs-s/APNQkAGZL-cx2OXm1JKfTyB9J1cqIW5X5DUyQ2atjGgOSTUMWdr03pgBXjDo6A_aOGzxsqvAVfyliaabvduzXqi-QbCfewwWurwxWhO2ilZvPvDYWExPRz66KG6N4WmWtdiZ_2lJV5oqjkjsi_pE=w122-h92-k-no</t>
  </si>
  <si>
    <t>"A pleasant</t>
  </si>
  <si>
    <t>hidden away on the back street."</t>
  </si>
  <si>
    <t>https://www.google.com/maps/place/Chay+Xanh+-+Green+Vegan+Food+%28Veggie+Saigon%29/data=!4m7!3m6!1s0x31752f909619c2d3:0xea65839705473093!8m2!3d10.78609!4d106.671357!16s%2Fg%2F11rqcf85nb!19sChIJ08IZlpAvdTERkzBHBZeDZeo?authuser=0&amp;hl=en&amp;rclk=1</t>
  </si>
  <si>
    <t>Chay Xanh - Green Vegan Food (Veggie Saigon)</t>
  </si>
  <si>
    <t>237/40 Đ. Đỗ Thị Lời</t>
  </si>
  <si>
    <t>https://lh3.googleusercontent.com/gps-cs-s/APNQkAHd992dfdz8bqeuAI7tP6eGvMPkwuX9nf3Zi9Y-GEL6yxiQvH6KcZMMByhvKB6Y2bs_QiEKfGFX7CDTyWZwJ6WrInFjbZ_nBwrgTwJjfHq2KZwBCz2HbSy7M1zTQ9sky4RBUZg=w137-h92-k-no</t>
  </si>
  <si>
    <t>Vegan food</t>
  </si>
  <si>
    <t>was delicious and it had a really relaxing atmosphere."</t>
  </si>
  <si>
    <t>https://www.google.com/maps/place/Vinh+Nghiem+Vegetarian+restaurant/data=!4m7!3m6!1s0x317528d3538dd6df:0xdb1ddd14ed0cc702!8m2!3d10.7904546!4d106.6826408!16s%2Fg%2F11dx9608vv!19sChIJ39aNU9ModTERAscM7RTdHds?authuser=0&amp;hl=en&amp;rclk=1</t>
  </si>
  <si>
    <t>Vinh Nghiem Vegetarian restaurant</t>
  </si>
  <si>
    <t>https://lh3.googleusercontent.com/gps-cs-s/APNQkAHEZBaLGVjRusSPTE5MzIplBA-WbW13gYLKQO2F_PkioXLGeTabjkYLslD6FqkwMUbmeTqaBMPZGubhNlS8XUf3Bst79tqE1kWI1DE1VDaH62rAHC4UO6J_Jb6tQAnhJlsDDIsU=w122-h92-k-no</t>
  </si>
  <si>
    <t>"Amazing tasty</t>
  </si>
  <si>
    <t>for a good price!"</t>
  </si>
  <si>
    <t>339 Nam Kỳ Khởi Nghĩa</t>
  </si>
  <si>
    <t>https://www.google.com/maps/place/Nho%C3%A0n+-+Nh%C3%A0+h%C3%A0ng+chay+%2F+Cafe/data=!4m7!3m6!1s0x31752772508925a3:0xb8011424a00696cd!8m2!3d10.808991!4d106.753609!16s%2Fg%2F11vlhzkhxp!19sChIJoyWJUHIndTERzZYGoCQUAbg?authuser=0&amp;hl=en&amp;rclk=1</t>
  </si>
  <si>
    <t>Nhoàn - Nhà hàng chay / Cafe</t>
  </si>
  <si>
    <t>Vegetarian restaurant</t>
  </si>
  <si>
    <t>4 Đặng Tiến Đông</t>
  </si>
  <si>
    <t>https://lh3.googleusercontent.com/p/AF1QipNUurZ69UR_ApupjfjIOZwXHm_Y7mD6O3IwyUJR=w80-h92-p-k-no</t>
  </si>
  <si>
    <t>https://ssl.gstatic.com/images/icons/material/system_gm/2x/done_gm_green700_24dp.png</t>
  </si>
  <si>
    <t>Dine-in</t>
  </si>
  <si>
    <t>Delivery</t>
  </si>
  <si>
    <t>https://www.google.com/maps/place/Nh%C3%A0+H%C3%A0ng+Thu%E1%BA%A7n+Chay+B%C3%80+X%C3%83+-+CN+Pasteur+-+Vegan+Restaurant/data=!4m7!3m6!1s0x31752fe13640cfd5:0x3e6e8f125b8c8735!8m2!3d10.778468!4d106.698772!16s%2Fg%2F11t4dy6gm0!19sChIJ1c9ANuEvdTERNYeMWxKPbj4?authuser=0&amp;hl=en&amp;rclk=1</t>
  </si>
  <si>
    <t>Nhà Hàng Thuần Chay BÀ XÃ - CN Pasteur - Vegan Restaurant</t>
  </si>
  <si>
    <t>178/4 Pasteur</t>
  </si>
  <si>
    <t>https://lh3.googleusercontent.com/gps-cs-s/APNQkAEFs8IX8r3IJwrIDjWaOSdy3BNVUdxDXVvv5J7Zs9SeyQXce7LmVxoLmFoUNSFxLwVyAdVNFtN1BXGEaZLp3N7PkCguR2cLrPeokQwgGbRBBmfHyXt6QLU0SuWajU8ZlIbt00snfKntLHo=w122-h92-k-no</t>
  </si>
  <si>
    <t>whole fish is an amazing experience!"</t>
  </si>
  <si>
    <t>https://www.google.com/maps/place/R%C3%8AU+Green+Kitchen/data=!4m7!3m6!1s0x3175296653ff02d9:0xa149c78dc95697b0!8m2!3d10.7961989!4d106.6777842!16s%2Fg%2F11t7lxygjr!19sChIJ2QL_U2YpdTERsJdWyY3HSaE?authuser=0&amp;hl=en&amp;rclk=1</t>
  </si>
  <si>
    <t>RÊU Green Kitchen</t>
  </si>
  <si>
    <t>https://lh3.googleusercontent.com/gps-cs-s/APNQkAHOUPdfRPs_NG6z12AbIpH5b0DkG59uCTxU0SjYe-axaDMrToygQHAmTU1f1ZQsUiRYJbiZKjDdv-LAehPMR_Ro4kfJxk66qkBDA_PLA2p7M92K6Zqw5ItKHegm0ctjvceD6cUqr5MmrbiA=w80-h111-k-no</t>
  </si>
  <si>
    <t>"A lovely</t>
  </si>
  <si>
    <t>spot with a calm and peaceful atmosphere."</t>
  </si>
  <si>
    <t>100 Đ. Trần Huy Liệu</t>
  </si>
  <si>
    <t>https://www.google.com/maps/place/Chay+Bodhi/data=!4m7!3m6!1s0x31752fcf45fc36b7:0xc395da65ac166582!8m2!3d10.7839524!4d106.682094!16s%2Fg%2F11l6q8z536!19sChIJtzb8Rc8vdTERgmUWrGXalcM?authuser=0&amp;hl=en&amp;rclk=1</t>
  </si>
  <si>
    <t>Chay Bodhi</t>
  </si>
  <si>
    <t>· Closes 2:30 PM · Reopens 4:30 PM</t>
  </si>
  <si>
    <t>https://lh3.googleusercontent.com/gps-cs-s/APNQkAGDv1mVoZF6A_vx89LEdez3qLfHn9XAlpUhQiWoCQcaKaMMMdVCdXyM3F9kBTVC677JF5uRkMrzTaq7jH23desdcW9ED8OZwD-4dL4b2OetYaI-cwZJR7MrqhWhnWhC0lBhplBiEw-gLik2=w80-h106-k-no</t>
  </si>
  <si>
    <t>"Very kind staff and delicious, fresh</t>
  </si>
  <si>
    <t>14/8 Đ. Kỳ Đồng</t>
  </si>
  <si>
    <t>https://www.google.com/maps/place/Shelley%27s+Vegetarian+Comfort+Food/data=!4m7!3m6!1s0x31752f007600a107:0x24460b087f2ac904!8m2!3d10.7750811!4d106.700503!16s%2Fg%2F11y2sf18_b!19sChIJB6EAdgAvdTERBMkqfwgLRiQ?authuser=0&amp;hl=en&amp;rclk=1</t>
  </si>
  <si>
    <t>Shelley's Vegetarian Comfort Food</t>
  </si>
  <si>
    <t>73 Pasteur</t>
  </si>
  <si>
    <t>https://lh3.googleusercontent.com/gps-cs-s/APNQkAGiN5s7GekA3nD2CiIXWIGcDPHj4ONSPFB0yUAPHs8J01UOfCW7xxrC8Ehw1XYIcY1lHXq-CVB8krl7ngI_xWXwaHuRObKZQt4JRuwlemdumbmYX2vz0jJLo6bgJPEfxs_pwtg=w138-h92-k-no</t>
  </si>
  <si>
    <t>"I came for the</t>
  </si>
  <si>
    <t>, the burger was delicious."</t>
  </si>
  <si>
    <t>https://www.google.com/maps/place/B%C3%A1nh+M%C3%AC+The+One+%E2%80%93+Vietnamese+Sandwich+%26+Vegan+Food/data=!4m7!3m6!1s0x31752fce14c0893f:0x293d0fc78c33785e!8m2!3d10.7723259!4d106.6945746!16s%2Fg%2F11w2fr19ss!19sChIJP4nAFM4vdTERXngzjMcPPSk?authuser=0&amp;hl=en&amp;rclk=1</t>
  </si>
  <si>
    <t>Bánh Mì The One – Vietnamese Sandwich &amp; Vegan Food</t>
  </si>
  <si>
    <t>Toast restaurant</t>
  </si>
  <si>
    <t>· Closes 5 PM</t>
  </si>
  <si>
    <t>https://lh3.googleusercontent.com/gps-cs-s/APNQkAF3hCl-_fzcEW6d0lIggvfUccKnmgD2snQHyWIpGW1Y4ZtplgsmeG7VRhWHZhxW0qGbkNhxbuJzRog-Sk6AGQ47pr_VfoaVUry0T4A3UJYmGT80EQz-zD2SfthHzRNByAy1hgJtCX63zudk=w80-h106-k-no</t>
  </si>
  <si>
    <t>"Delicious, both</t>
  </si>
  <si>
    <t>and meat options, super friendly staff 🫶🏻"</t>
  </si>
  <si>
    <t>234 Lý Tự Trọng</t>
  </si>
  <si>
    <t>https://www.google.com/maps/place/V%E1%BB%8B+Qu%C3%AA+Kitchen/data=!4m7!3m6!1s0x31752fe59e20471f:0x169be80586c609d8!8m2!3d10.7715986!4d106.6885602!16s%2Fg%2F11rg6q_gvv!19sChIJH0cgnuUvdTER2AnGhgXomxY?authuser=0&amp;hl=en&amp;rclk=1</t>
  </si>
  <si>
    <t>Vị Quê Kitchen</t>
  </si>
  <si>
    <t>https://lh3.googleusercontent.com/gps-cs-s/APNQkAHd1_L62iKferyib6QZsA1Nydl0rm8mChaOBu7mo3aiejc1Taq9MYjln3yoXFs2J3sOsva6NZ2urgppje2vwtSLPuQKihUJXElzop4LC5qjuayDWCjCxvJuk-2Zu50mOgke1YeY=w138-h92-k-no</t>
  </si>
  <si>
    <t>, amazing drinks, and great atmosphere!"</t>
  </si>
  <si>
    <t>110 Sương Nguyệt Anh</t>
  </si>
  <si>
    <t>https://www.google.com/maps/place/Nh%C3%A0+h%C3%A0ng+Chay+Vi%E1%BB%87t+An/data=!4m7!3m6!1s0x317528cda1e9acf7:0x139111c2ce97570e!8m2!3d10.7927559!4d106.6897702!16s%2Fg%2F1hc17lby0!19sChIJ96zpoc0odTERDleXzsIRkRM?authuser=0&amp;hl=en&amp;rclk=1</t>
  </si>
  <si>
    <t>Nhà hàng Chay Việt An</t>
  </si>
  <si>
    <t>11 Đ. Trần Nhật Duật</t>
  </si>
  <si>
    <t>https://lh3.googleusercontent.com/gps-cs-s/APNQkAFENmvEc8T9yov8Fx8VSM2ebdUtAs6F16sUTW7SocI889C8dNA8JXMwduYsmvEoUJ-hnst75VC-Wu9WI5PMmkCINfbfiz2zt6fIpFHeqpgO00FAaPTyKdawYTCTtcnaTXfsbxi2gw=w163-h92-k-no</t>
  </si>
  <si>
    <t>"Consistently great tasting</t>
  </si>
  <si>
    <t>, friendly service and a nice ambience."</t>
  </si>
  <si>
    <t>https://www.google.com/maps/place/Nh%C3%A0+h%C3%A0ng+chay+Sesame+-+%E1%BA%A8m+th%E1%BB%B1c+chay/data=!4m7!3m6!1s0x31752f499f0d0709:0x40c6d1663cfa6e41!8m2!3d10.773197!4d106.701892!16s%2Fg%2F11j_q9ffk7!19sChIJCQcNn0kvdTERQW76PGbRxkA?authuser=0&amp;hl=en&amp;rclk=1</t>
  </si>
  <si>
    <t>Nhà hàng chay Sesame - Ẩm thực chay</t>
  </si>
  <si>
    <t>39 Đ. Tôn Thất Thiệp</t>
  </si>
  <si>
    <t>https://lh3.googleusercontent.com/gps-cs-s/APNQkAHAn4S2LZTQ_JxcvwXO6vMiNERvbYZXvtbq5PrLeYTCMtYcklaezAyCZhKKFpc1dpYwOe0kYDOVqCKEKr_f_5tyAU3fgqyTteEJUsocDZQqmGTHEpJtKJcnQaPTZDCvAdwf71I=w122-h92-k-no</t>
  </si>
  <si>
    <t>"Cosy vegeterian</t>
  </si>
  <si>
    <t>with very tasty dishes."</t>
  </si>
  <si>
    <t>https://www.google.com/maps/place/Tung%27s+Restaurant+-+Vietnamese+Cuisine+%26+vegetarian+Food/data=!4m7!3m6!1s0x31752f59e15c67e9:0x7a43f830bff40c1!8m2!3d10.7726481!4d106.6964836!16s%2Fg%2F11v_25lpjr!19sChIJ6Wdc4VkvdTERwUD_C4M_pAc?authuser=0&amp;hl=en&amp;rclk=1</t>
  </si>
  <si>
    <t>Tung's Restaurant - Vietnamese Cuisine &amp; vegetarian Food</t>
  </si>
  <si>
    <t>https://lh3.googleusercontent.com/gps-cs-s/APNQkAGBOvKvJPHCkSuo0XnMvrBkz9IIaQ79SsMf3z-v-ciEPDI4c3eLiXw9RQCzNVaMK5xnlBo3WBC8LLYHpK_gAsk7tNaulz1M8nmarkPugl6cpD2MfBsHZnXEB16sSj8ruyo-ZpAmW6nXxJyR=w122-h92-k-no</t>
  </si>
  <si>
    <t>options were perfectly made, best mock beef I ve ever had."</t>
  </si>
  <si>
    <t>230 Lê Thánh Tôn</t>
  </si>
  <si>
    <t>https://www.google.com/maps/place/Qu%C3%A1n+chay+235/data=!4m7!3m6!1s0x31752f2cc32218d3:0x3bf410f57003085d!8m2!3d10.788872!4d106.6846244!16s%2Fg%2F11fx9cq5__!19sChIJ0xgiwywvdTERXQgDcPUQ9Ds?authuser=0&amp;hl=en&amp;rclk=1</t>
  </si>
  <si>
    <t>Quán chay 235</t>
  </si>
  <si>
    <t>235 Nam Kỳ Khởi Nghĩa</t>
  </si>
  <si>
    <t>· Opens 4 PM</t>
  </si>
  <si>
    <t>https://lh3.googleusercontent.com/gps-cs-s/APNQkAGQiJa4Wx7mdMvBP4vMnXQOZdErPAr7KziAdKK628MTALfeWxPljdPUzyVUcKDSQFm2q52ZkSNaQ9PnUG-wUE5ndD9gg2htyhHlptzJG1MxDvsl3PYTxByznRxJ5CFrpI9kINEv=w80-h106-k-no</t>
  </si>
  <si>
    <t>"Amazing and friendly owner, everything is</t>
  </si>
  <si>
    <t>https://www.google.com/maps/place/V%E1%BB%8B+S%C3%A0i+G%C3%B2n+Restaurant+%26+Caf%C3%A9/data=!4m7!3m6!1s0x31752f7ab9ad1afb:0xe03b4971af3c924a!8m2!3d10.7770411!4d106.6885969!16s%2Fg%2F11vz4qxqtz!19sChIJ-xqtuXovdTERSpI8r3FJO-A?authuser=0&amp;hl=en&amp;rclk=1</t>
  </si>
  <si>
    <t>Vị Sài Gòn Restaurant &amp; Café</t>
  </si>
  <si>
    <t>https://lh3.googleusercontent.com/gps-cs-s/APNQkAEHpypftmBcJnBjFnXQ8r2M3oywtRpLZAMOvVv0qGL8YYTqWFASpt33xYBK3InuLKm8qx9TZWfq0dj3L8UgtWsOxJ45bQbIK9bsr_iAnW3lU5PWUgGq4W1y60_dkFVBLjLCaRmUuSB4r8c=w122-h92-k-no</t>
  </si>
  <si>
    <t>was delicious—fresh, flavorful, and beautifully presented."</t>
  </si>
  <si>
    <t>254 Bis Nguyễn Đình Chiểu</t>
  </si>
  <si>
    <t>https://www.google.com/maps/place/Nh%C3%A0+H%C3%A0ng+Chay+M%E1%BB%99c+Nhi%C3%AAn+Tr%C6%B0%E1%BB%9Dng+Sa/data=!4m7!3m6!1s0x31752f72e86ce043:0x60a79979faee015a!8m2!3d10.786817!4d106.6819498!16s%2Fg%2F11h79mk4_2!19sChIJQ-Bs6HIvdTERWgHu-nmZp2A?authuser=0&amp;hl=en&amp;rclk=1</t>
  </si>
  <si>
    <t>Nhà Hàng Chay Mộc Nhiên Trường Sa</t>
  </si>
  <si>
    <t>https://lh3.googleusercontent.com/gps-cs-s/APNQkAGRp15HhhM61MR9BROLK7UWI0JZyLehkrSyif7Z8h3M4nZb95bA8Iv1Ftw5aUJDkF1S45UFamlKy1KdajFdwpRhgggblFBziUlitugwAmHsw13rWFsS-_Impy0_Z6JX9CLg0Km8=w122-h92-k-no</t>
  </si>
  <si>
    <t>, caring staff, cozy atmosphere and reasonable price."</t>
  </si>
  <si>
    <t>868A Trường Sa</t>
  </si>
  <si>
    <t>https://www.google.com/maps/place/Chay+Qu%C3%A1n+%C3%82m/data=!4m7!3m6!1s0x317529f71eee1715:0x101448cb7b830cd3!8m2!3d10.7924076!4d106.6878364!16s%2Fg%2F11pzx2yz04!19sChIJFRfuHvcpdTER0wyDe8tIFBA?authuser=0&amp;hl=en&amp;rclk=1</t>
  </si>
  <si>
    <t>Chay Quán Âm</t>
  </si>
  <si>
    <t>212/258, Nguyễn Văn Nguyễn</t>
  </si>
  <si>
    <t>https://lh3.googleusercontent.com/gps-cs-s/APNQkAH20maPROqgTAvtD5uP4Jl2Jjnj97HVa7PqXlLf6zoWblG8okHXsRXlGtbfCs3X80ABIi5A3ZynultwHBxP-srBCoPN6B6nEIYn61I2lkVgtXZAXjJo5pttBYc88FJRR9aLXMqO=w163-h92-k-no</t>
  </si>
  <si>
    <t>"Delicious with "Chả Giò",</t>
  </si>
  <si>
    <t>noodle with fermented shrimp paste."</t>
  </si>
  <si>
    <t>https://www.google.com/maps/place/B%E1%BA%BFp+M%E1%BA%B9+%E1%BB%88n/data=!4m7!3m6!1s0x31752f38c6940c73:0x45638362bccc0517!8m2!3d10.7738567!4d106.6980798!16s%2Fg%2F11bzx1njh0!19sChIJcwyUxjgvdTERFwXMvGKDY0U?authuser=0&amp;hl=en&amp;rclk=1</t>
  </si>
  <si>
    <t>Bếp Mẹ Ỉn</t>
  </si>
  <si>
    <t>https://lh3.googleusercontent.com/gps-cs-s/APNQkAGXzHUgMiLI7o0c_eDnQtFpaLZV8mJgyDbmFRg2Pwa7sPWHIGNnR5I5N0LxVqRpghCtF7K8nHCHAT812AQTPfd4WkZoWdoAZ_lGnf7zcamgFY_dsf7nHFLoLAJfUhHWo419O4qvU25flkg5=w138-h92-k-no</t>
  </si>
  <si>
    <t>"Everything was incredibly fresh and we loved the</t>
  </si>
  <si>
    <t>options ."</t>
  </si>
  <si>
    <t>136/9 Lê Thánh Tôn</t>
  </si>
  <si>
    <t>https://www.google.com/maps/place/N%C3%9AC+Kitchen+%26+Bar/data=!4m7!3m6!1s0x317527b719420b0b:0x6caea65e9539b641!8m2!3d10.801888!4d106.7354722!16s%2Fg%2F11sv3mb2d2!19sChIJCwtCGbcndTERQbY5lV6mrmw?authuser=0&amp;hl=en&amp;rclk=1</t>
  </si>
  <si>
    <t>NÚC Kitchen &amp; Bar</t>
  </si>
  <si>
    <t>08 Nguyễn Đăng Giai</t>
  </si>
  <si>
    <t>· Closes 10:30 PM</t>
  </si>
  <si>
    <t>https://lh3.googleusercontent.com/gps-cs-s/APNQkAFhTe5k5V2_ZnJ1y1kKFhkWVNvS7T2mR7O3nKOtOYugDfqKq3k18G6JtdWHVxGa64rIEkSGVGWPo7Kck-zvToSo8pij-rqoSroY1RXqigmR5DbcKu86wkm4TKpR8vjc1MTlsZ96JqaLp6s=w80-h106-k-no</t>
  </si>
  <si>
    <t>"Delicious nutritious</t>
  </si>
  <si>
    <t>, reasonable prices, enthusiastic staff"</t>
  </si>
  <si>
    <t>https://www.google.com/maps/place/METTA+Vegetarian+Restaurant/data=!4m7!3m6!1s0x31752f3301a24a0f:0x1d144e41c931f0e0!8m2!3d10.797603!4d106.7415085!16s%2Fg%2F11d_71jz5w!19sChIJD0qiATMvdTER4PAxyUFOFB0?authuser=0&amp;hl=en&amp;rclk=1</t>
  </si>
  <si>
    <t>METTA Vegetarian Restaurant</t>
  </si>
  <si>
    <t>https://lh3.googleusercontent.com/gps-cs-s/APNQkAEJkjkXycfLEyq2Pa97UMh_pRH7ec4P4bpaIHwhlErGRZ3z7iX3wwBxl5W5GIac0DJHkvR5k6stgAWHsTOTPemwshD_e6rfbfqbWcHyomCWQ-kPM8SNkDLIKuu82xXnBgncfUVxuw=w143-h92-k-no</t>
  </si>
  <si>
    <t>"Taste is good, wide variety and options are healthy."</t>
  </si>
  <si>
    <t>Số 6 Đ. Số 19</t>
  </si>
  <si>
    <t>https://www.google.com/maps/place/Chi+Cao+Vegetarian+Restaurant/data=!4m7!3m6!1s0x3175275a60e9c18b:0x362730d2bb93bcdb!8m2!3d10.7961531!4d106.7310219!16s%2Fg%2F11s7p7hkyq!19sChIJi8HpYFondTER27yTu9IwJzY?authuser=0&amp;hl=en&amp;rclk=1</t>
  </si>
  <si>
    <t>Chi Cao Vegetarian Restaurant</t>
  </si>
  <si>
    <t>58A Trần Não</t>
  </si>
  <si>
    <t>https://lh3.googleusercontent.com/gps-cs-s/APNQkAEclnt39Es2iuBs3Mgq-3wSG_7jj6igQFyuiHhdg0bNx7LfcFlKnCYGad1i4OSWXXwUpUwAPvAhTkbQIM9KecoJFSCiVwItUS1xp2HCclnqJ2RUVNNdDlbZ_QuMr20QHBCk2LkW=w80-h106-k-no</t>
  </si>
  <si>
    <t>"My fav</t>
  </si>
  <si>
    <t>spot in An Phu, nurturing</t>
  </si>
  <si>
    <t>https://www.google.com/maps/place/Nh%C3%A0+h%C3%A0ng+chay+Ph%E1%BA%A1m+Nghi%C3%AAm+Trai+-+Bongensai+Vegetarian/data=!4m7!3m6!1s0x3175271f0dc6ba31:0x42dc32368dfee0b!8m2!3d10.802349!4d106.7371597!16s%2Fg%2F11smbkhjv9!19sChIJMbrGDR8ndTERC-7faCPDLQQ?authuser=0&amp;hl=en&amp;rclk=1</t>
  </si>
  <si>
    <t>Nhà hàng chay Phạm Nghiêm Trai - Bongensai Vegetarian</t>
  </si>
  <si>
    <t>Japanese</t>
  </si>
  <si>
    <t>49 Nguyễn Đăng Giai</t>
  </si>
  <si>
    <t>https://lh3.googleusercontent.com/gps-cs-s/APNQkAHKENkTkF8znaseeM6UJPbVi-SxDMpG135jlX9u0Iyib9a1xt6rvjHvXB4U3DvZrPQOnBIcytmv34m8nQH0HsS7qCHDF93TsKBUcAu_UJjHURfFtXO-yakS-vQzXkI3mANw-qWCdrw_nN5o=w122-h92-k-no</t>
  </si>
  <si>
    <t>"Quiet, peaceful and interesting</t>
  </si>
  <si>
    <t>takes on Japanese</t>
  </si>
  <si>
    <t>https://www.google.com/maps/place/CHAY+GARDEN+Xu%C3%A2n+Th%E1%BB%A7y+-+Vegetarian+Restaurant+%26+Tea+House/data=!4m7!3m6!1s0x317527baef2e86b7:0x74d3ba96e8dbab1!8m2!3d10.8029541!4d106.7312266!16s%2Fg%2F11sttt9pwl!19sChIJt4Yu77ondTERsbqNbqk7TQc?authuser=0&amp;hl=en&amp;rclk=1</t>
  </si>
  <si>
    <t>CHAY GARDEN Xuân Thủy - Vegetarian Restaurant &amp; Tea House</t>
  </si>
  <si>
    <t>52 Xuân Thủy</t>
  </si>
  <si>
    <t>https://lh3.googleusercontent.com/gps-cs-s/APNQkAHn_88E-8quJamy0I__0wVt7vn-o2F6nUMR6er__5jN_FvzvNO-mgmvkyLIUUZ5mUekEgPVjQSFDTrwxaeV3eWytqrInJTSEYH6HDdDV90QgMwyxgOL74Hu01GjtPRx5oqg1F6E3iEVPA9t=w92-h92-k-no</t>
  </si>
  <si>
    <t>"delicious</t>
  </si>
  <si>
    <t>, good space and service, worth the experience"</t>
  </si>
  <si>
    <t>https://www.google.com/maps/place/Ch%C3%A2n+Nh%C6%B0+Vegetarian+Bistro/data=!4m7!3m6!1s0x317527489c8d0e6d:0x281c35153dcc3ed2!8m2!3d10.7921758!4d106.745538!16s%2Fg%2F11v_91zzs_!19sChIJbQ6NnEgndTER0j7MPRU1HCg?authuser=0&amp;hl=en&amp;rclk=1</t>
  </si>
  <si>
    <t>Chân Như Vegetarian Bistro</t>
  </si>
  <si>
    <t>252 Nguyễn Hoàng</t>
  </si>
  <si>
    <t>https://lh3.googleusercontent.com/gps-cs-s/APNQkAGKiVFEgEJYdIgAsO8wA_GMgr49UiQvcYMqfRRpol8B3NfFNYV8ItH-dmz-CO-poI1HU0E9ahD4Eo2BOhoQpEHvVRHjzIi0vTxB1EFBFS7KHDqS7ZW1ZcjLQSzzNdP_bktCHMS2=w80-h106-k-no</t>
  </si>
  <si>
    <t>"I can recommend bun hue chay"</t>
  </si>
  <si>
    <t>https://www.google.com/maps/place/AMAVI+KOM+%26+VEGAN/data=!4m7!3m6!1s0x317527c7b7e831c1:0x3d9981b0a6e32f4e!8m2!3d10.8065373!4d106.7308124!16s%2Fg%2F11ln2xr59y!19sChIJwTHot8cndTERTi_jprCBmT0?authuser=0&amp;hl=en&amp;rclk=1</t>
  </si>
  <si>
    <t>AMAVI KOM &amp; VEGAN</t>
  </si>
  <si>
    <t>61-63 Quốc Hương</t>
  </si>
  <si>
    <t>· Closes 8:30 PM</t>
  </si>
  <si>
    <t>https://lh3.googleusercontent.com/gps-cs-s/APNQkAEW4n_L1jZLc3gDARUp4NCF7OUZbntaHwsYQsJ2otP1LkbCA8LeG9XJOj1VM4u-uFzYH7UbU7Phe5bEyp8U1-JIBiPkywFHLMZrPlmKKUc_v8E2EcMZyDSbAgDSXTf8ZzNmUw_DO5V6T57Z=w122-h92-k-no</t>
  </si>
  <si>
    <t>"We loved our</t>
  </si>
  <si>
    <t>meals, fabulous kombucha and very attentive staff."</t>
  </si>
  <si>
    <t>https://www.google.com/maps/place/Vegete+Vegetarian+ramen+%EF%BC%86+cafe/data=!4m7!3m6!1s0x3175279414e96b99:0x51b499a47f6e025!8m2!3d10.8030413!4d106.7323303!16s%2Fg%2F11z0wzz1rm!19sChIJmWvpFJQndTERJeD2R5pJGwU?authuser=0&amp;hl=en&amp;rclk=1</t>
  </si>
  <si>
    <t>Vegete Vegetarian ramen ＆ cafe</t>
  </si>
  <si>
    <t>01, Lô B/64 Xuân Thủy</t>
  </si>
  <si>
    <t>· Opens 9 AM Wed</t>
  </si>
  <si>
    <t>https://lh3.googleusercontent.com/gps-cs-s/APNQkAGiqN1jrc_rGFRLwdiyX8v21ydGoasF_zPuyz-MlHEd1sAoqZ6g9zWkRa6N3U_t1v4zBQm-1qMqUrG4jPZunD4EsMT0DlKAKKGkDJ7HvHf9ireCQco2PyGbDdanAh2i6Pl7bA07U-jKyE0=w131-h92-k-no</t>
  </si>
  <si>
    <t>https://www.google.com/maps/place/Zeroism+Vegan+-+Caf%C3%A9+%26+Sourdough+Bakery/data=!4m7!3m6!1s0x317527d5334c31fd:0x37eddea14d7f67f9!8m2!3d10.8038578!4d106.7284153!16s%2Fg%2F11jbkcnttl!19sChIJ_TFMM9UndTER-Wd_TaHe7Tc?authuser=0&amp;hl=en&amp;rclk=1</t>
  </si>
  <si>
    <t>Zeroism Vegan - Café &amp; Sourdough Bakery</t>
  </si>
  <si>
    <t>50 Đ. Nguyễn Cừ</t>
  </si>
  <si>
    <t>https://lh3.googleusercontent.com/gps-cs-s/APNQkAF09s-D6Me_akrn2AwsyDfPaf0Gfo6pDMMMyXd7hF3kjUsAI-2-Fh3L1jYRI1BhwsKS2xjImx4Bzrfxi0sPLL0s78nzN2dl-jm-hoUs-pTSi2tME9i5734cHOpqoT1zt4IZH2Y=w138-h92-k-no</t>
  </si>
  <si>
    <t>a big variety of</t>
  </si>
  <si>
    <t>https://www.google.com/maps/place/Home+vegan+-+%C4%91%E1%BB%93+%C4%83n+chay+online+restaurant.+Giao+h%C3%A0ng+t%E1%BA%ADn+n%C6%A1i/data=!4m7!3m6!1s0x317527519da9bb41:0x3e74156dccba257e!8m2!3d10.8015544!4d106.7293157!16s%2Fg%2F11vz7jcqwr!19sChIJQbupnVEndTERfiW6zG0VdD4?authuser=0&amp;hl=en&amp;rclk=1</t>
  </si>
  <si>
    <t>Home vegan - đồ ăn chay online restaurant. Giao hàng tận nơi</t>
  </si>
  <si>
    <t>Delivery Restaurant</t>
  </si>
  <si>
    <t>32 Đường số 54</t>
  </si>
  <si>
    <t>https://lh3.googleusercontent.com/gps-cs-s/APNQkAGrGYOYFyvPiItMZV_qn-aT2fEp9aLxZmnDdd6__hKV1biZu1M7s_r80lFnKKUtUkh5LLWh3wood2CTrNMm_4VYtoqMqUe3zxDvTzIO_1HWeRRS2fniDCVGL8vAZWT8-5hCmMPMaQ=w80-h142-k-no</t>
  </si>
  <si>
    <t>"Really delicious, healthy and affordable</t>
  </si>
  <si>
    <t>!"</t>
  </si>
  <si>
    <t>https://www.google.com/maps/place/Laang+Saigon/data=!4m7!3m6!1s0x317527734c0cb41d:0x7673bae0668d9e03!8m2!3d10.8032012!4d106.7364045!16s%2Fg%2F11h4ms7v8y!19sChIJHbQMTHMndTERA56NZuC6c3Y?authuser=0&amp;hl=en&amp;rclk=1</t>
  </si>
  <si>
    <t>Laang Saigon</t>
  </si>
  <si>
    <t>https://lh3.googleusercontent.com/gps-cs-s/APNQkAERxiEcDlm269dEiWo_5O4626DEkMhut4CWDnnLwPDLH_vtwFjmTWGoJ1tV4N5Iv-ZlHg1YhN788kGCdh6QVkE6Jq5-4VRiG5BxdZpmHdR-xrVVjvoid8Wtbp5HIBWcl5Qa82RD=w138-h92-k-no</t>
  </si>
  <si>
    <t>"Really tasty</t>
  </si>
  <si>
    <t>options too!"</t>
  </si>
  <si>
    <t>22 Đặng Hữu Phổ</t>
  </si>
  <si>
    <t>https://www.google.com/maps/place/Shelley%27s+Vegetarian+Comfort+Food/data=!4m7!3m6!1s0x317527b319afd4c5:0x10501fb041bc80c1!8m2!3d10.8064393!4d106.7349425!16s%2Fg%2F11hzz6_719!19sChIJxdSvGbMndTERwYC8QbAfUBA?authuser=0&amp;hl=en&amp;rclk=1</t>
  </si>
  <si>
    <t>71 Thảo Điền</t>
  </si>
  <si>
    <t>https://lh3.googleusercontent.com/gps-cs-s/APNQkAHmpQF8InLgGGK_b8Yr9KCPUvJm52iqW6r05kHY1y7PNfdksPmqgXItI11ijPXFgTnt265ZgG6y6FdT6Xnr2XnlaN5QszSBSDztA4LifdhMODVI73-iSkaVhAurg_xzft0MBo59uuBbT87x=w80-h106-k-no</t>
  </si>
  <si>
    <t>"They have a very large</t>
  </si>
  <si>
    <t>menu."</t>
  </si>
  <si>
    <t>https://www.google.com/maps/place/Dieu+Thien+Vegetarian+Restaurant/data=!4m7!3m6!1s0x3175270013f751cd:0x998aab24678048d3!8m2!3d10.7940178!4d106.741034!16s%2Fg%2F11y42gs8gy!19sChIJzVH3EwAndTER00iAZySripk?authuser=0&amp;hl=en&amp;rclk=1</t>
  </si>
  <si>
    <t>Dieu Thien Vegetarian Restaurant</t>
  </si>
  <si>
    <t>130 Trần Lựu</t>
  </si>
  <si>
    <t>https://lh3.googleusercontent.com/gps-cs-s/APNQkAF3nnsLiWkmQzwvhyNZ6BKO7PHJnUmVMq9VB242HaJIh2R_t_LOhyJ2KqDXDYivw_7jklOU_09k161GfPI0xDj0sPIO8x0SeZIh27W7SRUYPIECtX6Q9x9BHCDBxlsfcjvDba_zL2FuVIlB=w122-h92-k-no</t>
  </si>
  <si>
    <t>"Healthy, rich, diverse, delicious and very cheap :)"</t>
  </si>
  <si>
    <t>https://www.google.com/maps/place/Zero+Plant-based+Th%E1%BA%A3o+%C4%90i%E1%BB%81n+-+Eatery+%26+Caf%C3%A9/data=!4m7!3m6!1s0x3175278ac38574c5:0x8ea96d82eee93f17!8m2!3d10.8041995!4d106.7436151!16s%2Fg%2F11x1fcy3g6!19sChIJxXSFw4ondTERFz_p7oJtqY4?authuser=0&amp;hl=en&amp;rclk=1</t>
  </si>
  <si>
    <t>Zero Plant-based Thảo Điền - Eatery &amp; Café</t>
  </si>
  <si>
    <t>Vegetarian cafe and deli</t>
  </si>
  <si>
    <t>36 Đ. Số 10</t>
  </si>
  <si>
    <t>https://lh3.googleusercontent.com/gps-cs-s/APNQkAFkG-B35RpFX-Rkuz4eD_7ZLfNkKk7OOvgu3oWs4vcpFjl7TUacK4doUaFDSybdjHKhg7WFgpBZc-4WnzEm6UtqbBmTXst5yp3OdqcKt40KYAP9Z4H-ad2W5iXOyyStCaaYBsNfUz7LTOPX=w137-h92-k-no</t>
  </si>
  <si>
    <t>"Service was fast,</t>
  </si>
  <si>
    <t>was delicious and all</t>
  </si>
  <si>
    <t>https://www.google.com/maps/place/Hum+Garden+-+Healthy+Veggies+Delights/data=!4m7!3m6!1s0x317526146200ff4b:0xe3bd3251a80b0465!8m2!3d10.8042095!4d106.7440478!16s%2Fg%2F11d_v9rggx!19sChIJS_8AYhQmdTERZQQLqFEyveM?authuser=0&amp;hl=en&amp;rclk=1</t>
  </si>
  <si>
    <t>Hum Garden - Healthy Veggies Delights</t>
  </si>
  <si>
    <t>https://lh3.googleusercontent.com/gps-cs-s/APNQkAFphvPqUvyFsbu2lJcVnx5PAXKRdQq_NMn5ZnqmeyRGr-3kQCCgG0TrP6diNdL9MoFgjo6u9uoI6hg8gGmRrP5ZFtQIKI6GJD5Ax_zGRh6YGTksOeGQVZxyXMkV_0QAEr3JvxqEyg=w122-h92-k-no</t>
  </si>
  <si>
    <t>in a beautiful garden-like setting."</t>
  </si>
  <si>
    <t>32 Đ. Số 10</t>
  </si>
  <si>
    <t>https://www.google.com/maps/place/Green+Monkey+Saigon+Choose+Your+Mood+%F0%9F%90%92:+FUEL+%7C+GLOW+%7C+TREAT/data=!4m7!3m6!1s0x317527f6e11d1ec3:0x7cfd7ecaff7469f7!8m2!3d10.803062!4d106.7292159!16s%2Fg%2F11s1qxcxzm!19sChIJwx4d4fYndTER92l0_8p-_Xw?authuser=0&amp;hl=en&amp;rclk=1</t>
  </si>
  <si>
    <t>Green Monkey Saigon Choose Your Mood 🐒: FUEL | GLOW | TREAT</t>
  </si>
  <si>
    <t>4 Đ. Đỗ Quang</t>
  </si>
  <si>
    <t>· Opens 8 AM Sat</t>
  </si>
  <si>
    <t>https://lh3.googleusercontent.com/gps-cs-s/APNQkAGJx3TU3l8-oRSh3yQn8w9lCdBOBuBRsUxkbQsW529Jl7CCwsiZz2KbjzGzQuXPWBRlcRfqdvRaJaxvtwEln9AxHyOSwxjreeyMZInKWnOngpsn3YNUcZ3M3Cg5LFtMs3aFfACuEBDFph4=w80-h106-k-no</t>
  </si>
  <si>
    <t>"Delicious and healthy</t>
  </si>
  <si>
    <t>with big enough sizes."</t>
  </si>
  <si>
    <t>https://www.google.com/maps/place/Kashew+Cheese+Deli/data=!4m7!3m6!1s0x3175274ee9f5fb59:0x6c9e640fb0838eee!8m2!3d10.80339!4d106.7392438!16s%2Fg%2F11h40yrh_w!19sChIJWfv16U4ndTER7o6DsA9knmw?authuser=0&amp;hl=en&amp;rclk=1</t>
  </si>
  <si>
    <t>Kashew Cheese Deli</t>
  </si>
  <si>
    <t>14 Trần Ngọc Diện</t>
  </si>
  <si>
    <t>https://lh3.googleusercontent.com/gps-cs-s/APNQkAF7NAX-hnF7vpBfv3-CEl-N4hgJV40HLNaIKuS2WOjDOCfCP_QECPb_nZ3PhLdcuzWuuv0gR10HiR06qiNkJ0a46KbTZHD4Uy8k24VkQk27X1mLa3_PqAaaRl_IBP8RFHLdSKc=w122-h92-k-no</t>
  </si>
  <si>
    <t>"The aubergine tomato and cheese pasta is the best</t>
  </si>
  <si>
    <t>pasta I've ever had."</t>
  </si>
  <si>
    <t>https://www.google.com/maps/place/Nh%C3%A0+H%C3%A0ng+Chay+B%E1%BB%93+%C4%90%E1%BB%81+T%E1%BB%8Bnh+T%C3%A2m+Qu%E1%BA%ADn+2/data=!4m7!3m6!1s0x317525fdfb805777:0xe52be0166135deaa!8m2!3d10.7919215!4d106.730317!16s%2Fg%2F1yj4k3l0g!19sChIJd1eA-_0ldTERqt41YRbgK-U?authuser=0&amp;hl=en&amp;rclk=1</t>
  </si>
  <si>
    <t>Nhà Hàng Chay Bồ Đề Tịnh Tâm Quận 2</t>
  </si>
  <si>
    <t>160 Trần Não</t>
  </si>
  <si>
    <t>https://lh3.googleusercontent.com/gps-cs-s/APNQkAEyMXKEbDXsXOCNdaocouw6XD6X1kuSm5exJad0sJQWSf8ZlLSEkZbF3mXXFQmKkLRevSzQmbGgz3jVQy8LOyz2TpJ9fxvTtODd4GzjsJNRTrn8zyPC6lPhBWTezBCIvMaIZVlO=w163-h92-k-no</t>
  </si>
  <si>
    <t>"A large range of</t>
  </si>
  <si>
    <t>dishes and delicious drinks to choose from."</t>
  </si>
  <si>
    <t>https://www.google.com/maps/place/%28Qu%E1%BA%ADn+2%29+Qu%C3%A1n+Chay+-+%E1%BA%A8m+Th%E1%BB%B1c+Chay+T%C3%A2m+An+-+Vietnamese+Vegetarian+Bistro/data=!4m7!3m6!1s0x3175278a10adcaf3:0xd137f0f63549c38!8m2!3d10.7895584!4d106.7436764!16s%2Fg%2F11x2gc920d!19sChIJ88qtEIondTEROJxUYw9_Ew0?authuser=0&amp;hl=en&amp;rclk=1</t>
  </si>
  <si>
    <t>(Quận 2) Quán Chay - Ẩm Thực Chay Tâm An - Vietnamese Vegetarian Bistro</t>
  </si>
  <si>
    <t>· Closes 2 PM</t>
  </si>
  <si>
    <t>https://lh3.googleusercontent.com/gps-cs-s/APNQkAFkuZjlKgSQZPTwdOWclLwsf-TkxJ6W2VWuvYfnSWBWK3kik6smUWyM5TtwCdfz4EbZNwrkKf9lO76z6-dwGtUlq4KmrhQQx4vLbWnkAUjgzs0PJzQmjOJn1bDXqHOzquO6lncTwG-HSW4f=w92-h92-k-no</t>
  </si>
  <si>
    <t>Drive-through</t>
  </si>
  <si>
    <t>No-contact delivery</t>
  </si>
  <si>
    <t>311 M1, Đ. Số 7</t>
  </si>
  <si>
    <t>https://www.google.com/maps/place/Papadums+Indian+Cuisine-+Box+Oi/data=!4m7!3m6!1s0x3175277d8366766f:0x9234e20b36ed8afc!8m2!3d10.8044683!4d106.7395548!16s%2Fg%2F11w95w6tg2!19sChIJb3Zmg30ndTER_IrtNgviNJI?authuser=0&amp;hl=en&amp;rclk=1</t>
  </si>
  <si>
    <t>Papadums Indian Cuisine- Box Oi</t>
  </si>
  <si>
    <t>Modern Indian restaurant</t>
  </si>
  <si>
    <t>Address: 19 Đ. Trần Ngọc Diện, Thảo Điền, Quận 2, 19 Trần Ngọc Diện</t>
  </si>
  <si>
    <t>· Opens 11:30 AM</t>
  </si>
  <si>
    <t>https://lh3.googleusercontent.com/gps-cs-s/APNQkAHE3NzWH6LctDy8IiPrJ7X-MpZXjZs9zduK35CWMTe8rfHOdcTfEe2IRUQFPdV3jl2O5yDefFKcgNdUJKKxgZm-RQLDlQms7OWJInH3zlR_xiBrgvmsREv_rxd_M8fKT62nb_kU=w80-h106-k-no</t>
  </si>
  <si>
    <t>"Very healthy yet super delicious, coming from high quality ingredients."</t>
  </si>
  <si>
    <t>https://www.google.com/maps/place/ChanChan+Vegan+Noodle/data=!4m7!3m6!1s0x3175274bf6f32151:0x1a7edc796d12db41!8m2!3d10.8041987!4d106.7335668!16s%2Fg%2F11y37b7__5!19sChIJUSHz9ksndTERQdsSbXncfho?authuser=0&amp;hl=en&amp;rclk=1</t>
  </si>
  <si>
    <t>ChanChan Vegan Noodle</t>
  </si>
  <si>
    <t>25A Ngô Quang Huy</t>
  </si>
  <si>
    <t>https://lh3.googleusercontent.com/gps-cs-s/APNQkAE8Y6-ETNIHzAJcoW71iMf40EZPeYVKFScVr2xEDyn_awLgcmHyzvbmUAeENzpHmHgEmqV2zfTb9IwEjm0JN-C4HiP2S1PsqsbcPZnOfOOqU60P9eDbqp99ySBH51bkhBTbkYYnLNgbmUcU=w107-h92-k-no</t>
  </si>
  <si>
    <t>"100%</t>
  </si>
  <si>
    <t>, unique dishes, super fast service, great prices."</t>
  </si>
  <si>
    <t>https://www.google.com/maps/place/Nho%C3%A0n+-+Nh%C3%A0+h%C3%A0ng+chay+%2F+Cafe/data=!4m7!3m6!1s0x31752772508925a3:0xb8011424a00696cd!8m2!3d10.8089914!4d106.7536086!16s%2Fg%2F11vlhzkhxp!19sChIJoyWJUHIndTERzZYGoCQUAbg?authuser=0&amp;hl=en&amp;rclk=1</t>
  </si>
  <si>
    <t>https://lh3.googleusercontent.com/gps-cs-s/APNQkAEeIAL0qDG_3Htjka4mn3OoUpjoVyDES4oq7jocNYRj5Ye6cm7Za6Tyz5uDh5OLjZGO2KOqPVW6MM3PrLBsdgEfzPbE6pKN8efuuv_MLzvz2aR1Q2MmkkvHI1Nw82_P7AROYXRMbw=w122-h92-k-no</t>
  </si>
  <si>
    <t>"I recently dined at this</t>
  </si>
  <si>
    <t>(2 times) and was impressed."</t>
  </si>
  <si>
    <t>https://www.google.com/maps/place/Soha+plant-based/data=!4m7!3m6!1s0x3175270047d02f4f:0x177c4be4e72781ba!8m2!3d10.8060957!4d106.7407594!16s%2Fg%2F11yd9wnxp4!19sChIJTy_QRwAndTERuoEn5-RLfBc?authuser=0&amp;hl=en&amp;rclk=1</t>
  </si>
  <si>
    <t>Soha plant-based</t>
  </si>
  <si>
    <t>39 Trần Ngọc Diện</t>
  </si>
  <si>
    <t>https://lh3.googleusercontent.com/gps-cs-s/APNQkAF6gkJ7TkReEAZhR68X1Po-XeZiO2LLI9j39t2JhBg4mi7pwTk1eZ0d9IkHe5FVWaiUkkTlFD_KhG0PUnzoYE_5OsAIL66vAcUA6YbAVeuCujTXaBC9EeLbhK8dVaLACKXPc0qOIDaOrfWA=w138-h92-k-no</t>
  </si>
  <si>
    <t>"soooo yummy and healthy, great service, and atmosphere."</t>
  </si>
  <si>
    <t>https://www.google.com/maps/place/Chay+Thi%E1%BB%87n+T%C3%A2m/data=!4m7!3m6!1s0x3175270f8c4bb741:0x4bc3e54828fae12d!8m2!3d10.8042184!4d106.7285822!16s%2Fg%2F11s2hgrnvp!19sChIJQbdLjA8ndTERLeH6KEjlw0s?authuser=0&amp;hl=en&amp;rclk=1</t>
  </si>
  <si>
    <t>Chay Thiện Tâm</t>
  </si>
  <si>
    <t>45b Đ. Đỗ Quang</t>
  </si>
  <si>
    <t>https://lh3.googleusercontent.com/gps-cs-s/APNQkAFAQRNLSkJxLNRqo0ocyJDR4qXbGNaYfCgZmNkmWyWu-Hpo-QYxdMquaVH-2jN3FQzpIlwPTL_1vwI_QkDoUVGfRX2WziGUOh_3Go_-PvuOJMrkNA4xeFMH6iFFZJ_3iMQeKQkIFsTWhaP0=w80-h106-k-no</t>
  </si>
  <si>
    <t>"It’s literally the most delicious</t>
  </si>
  <si>
    <t>I had in weeks!!"</t>
  </si>
  <si>
    <t>https://www.google.com/maps/place/GBomb+Cuisine+-+Vegan+Thu%E1%BA%A7n+Chay/data=!4m7!3m6!1s0x317529d705e9553b:0xf3d465855b494436!8m2!3d10.7888411!4d106.7150518!16s%2Fg%2F11l6rzxw03!19sChIJO1XpBdcpdTERNkRJW4Vl1PM?authuser=0&amp;hl=en&amp;rclk=1</t>
  </si>
  <si>
    <t>GBomb Cuisine - Vegan Thuần Chay</t>
  </si>
  <si>
    <t>36 Nguyễn Hữu Cảnh</t>
  </si>
  <si>
    <t>https://lh3.googleusercontent.com/gps-cs-s/APNQkAGGQIV8n5_BsYHOp7hu6ALAUjJxY7CeVYbGz8IzBz1bo4CaWzU1qrTM_rmcF-w80g0BAJZzDO7tdsj-eYi6bSLgAbt9ugBCnSu4EWRZZEdlCzhaPGd3CUqm35VAEc0BwM-DsLWZ2urjbCtr=w80-h106-k-no</t>
  </si>
  <si>
    <t>"Honestly the best</t>
  </si>
  <si>
    <t>Döner and Wrap that we ever had."</t>
  </si>
  <si>
    <t>https://www.google.com/maps/place/Nh%C3%A0+H%C3%A0ng+Chay+KIM+SA+-+Chi+Nh%C3%A1nh+Th%E1%BA%A3o+%C4%90i%E1%BB%81n+Premium+%28KIM+SA+Vegetarian+%26+Garden+Restaurant%29/data=!4m7!3m6!1s0x31752782fe504de9:0xc450699a0c319eab!8m2!3d10.8086875!4d106.7287477!16s%2Fg%2F11w2jtpvff!19sChIJ6U1Q_oIndTERq54xDJppUMQ?authuser=0&amp;hl=en&amp;rclk=1</t>
  </si>
  <si>
    <t>Nhà Hàng Chay KIM SA - Chi Nhánh Thảo Điền Premium (KIM SA Vegetarian &amp; Garden Restaurant)</t>
  </si>
  <si>
    <t>https://lh3.googleusercontent.com/gps-cs-s/APNQkAHAbeVNQFdDvhB-pxt3EGqllLCOnRFp4F4KJYFrQZZHGzhl2RH04mwmOv0m1hMfbYAg1GSTNND_wIxdMHsNBRqtFusYxH4S8LZ1Lv68VTywnYb0mlFclTVOdssezIykTyG1exJle-PXt1o=w122-h92-k-no</t>
  </si>
  <si>
    <t>with a very zen and relaxing garden to dine in!"</t>
  </si>
  <si>
    <t>27 Đường Số 59</t>
  </si>
  <si>
    <t>https://www.google.com/maps/place/Rawberry/data=!4m7!3m6!1s0x31752749687d03d3:0xed2869141b09c7c8!8m2!3d10.8047387!4d106.7285675!16s%2Fg%2F11kkb3h35d!19sChIJ0wN9aEkndTERyMcJGxRpKO0?authuser=0&amp;hl=en&amp;rclk=1</t>
  </si>
  <si>
    <t>Rawberry</t>
  </si>
  <si>
    <t>52 Đ. Đỗ Quang</t>
  </si>
  <si>
    <t>https://lh3.googleusercontent.com/gps-cs-s/APNQkAGMkyel44UyWeHdzwsqQ-bsjOkQ-FRsAioijdZg9xjckioiMzb6o9PZXE6DN8NTUeDfeMoI77TyvXk5cRHZUE2uH-ckbKa9zd2xrk8BGmfCvg1Iv3CFle2b45jvZaRkwfeW4HZ98V_Oyko=w80-h106-k-no</t>
  </si>
  <si>
    <t>"Cute interior, good quality</t>
  </si>
  <si>
    <t>cakes, friendly staff, small menu"</t>
  </si>
  <si>
    <t>https://www.google.com/maps/place/L%C3%AA+An+vegetarian/data=!4m7!3m6!1s0x3175299a5b54e267:0x2c5aed119c2b2a6!8m2!3d10.7983324!4d106.7131962!16s%2Fg%2F11w427gzpj!19sChIJZ-JUW5opdTERprLCGdGuxQI?authuser=0&amp;hl=en&amp;rclk=1</t>
  </si>
  <si>
    <t>Lê An vegetarian</t>
  </si>
  <si>
    <t>Block E1 Chung cư Mỹ Đức, Xô Viết Nghệ Tĩnh</t>
  </si>
  <si>
    <t>· Closes 7 PM</t>
  </si>
  <si>
    <t>https://lh3.googleusercontent.com/gps-cs-s/APNQkAFt6eCcel1HjcykhHDWr9brV6dfC2tTAOEtpuvKnq0Hx5VmzL7Xwgi88ZYPocxQXOznbARi2GVW573_NR3cKiQLosjIcqz4R7uwQ1bmqlryFCYag1vDzlmQykZ4JcyFl5GkhMIi=w132-h92-k-no</t>
  </si>
  <si>
    <t>Curbside pickup</t>
  </si>
  <si>
    <t>https://www.google.com/maps/place/Nh%C3%A0+h%C3%A0ng+chay+Du+Y%C3%AAn+Vegetarian+-+Th%E1%BA%A3o+%C4%90i%E1%BB%81n+Qu%E1%BA%ADn+2/data=!4m7!3m6!1s0x3175275451ca0d6b:0xa3313f7edee87dad!8m2!3d10.8042665!4d106.7443254!16s%2Fg%2F11v3mhc2b7!19sChIJaw3KUVQndTERrX3o3n4_MaM?authuser=0&amp;hl=en&amp;rclk=1</t>
  </si>
  <si>
    <t>Nhà hàng chay Du Yên Vegetarian - Thảo Điền Quận 2</t>
  </si>
  <si>
    <t>26B Đ. Số 10</t>
  </si>
  <si>
    <t>https://lh3.googleusercontent.com/gps-cs-s/APNQkAHkApJ1jcKEGi-sstXT-c6buqm_S3AkniN1tcV3ZmSB_OKXnZNphtcYmq_RHTseVk7p1f6PVl3VXaj5yCqY3oNV1qEEyCTotBxRx9lyWzXvBF4HVtcHxcLytI5w0RhQMpAE3my-j4WGDAGI=w138-h92-k-no</t>
  </si>
  <si>
    <t>"Actual excellence in</t>
  </si>
  <si>
    <t>, service, decor."</t>
  </si>
  <si>
    <t>https://www.google.com/maps/place/Th%E1%BB%B1c+ph%E1%BA%A9m+chay+-+L%C3%B2+%C4%91%E1%BA%ADu+h%C5%A9+n%C3%B3ng+B%E1%BA%AFc+Ninh/data=!4m7!3m6!1s0x317527006aacef9f:0xb1583578c21e8c71!8m2!3d10.7942357!4d106.7344837!16s%2Fg%2F11vqdd86cb!19sChIJn--sagAndTERcYwewng1WLE?authuser=0&amp;hl=en&amp;rclk=1</t>
  </si>
  <si>
    <t>Thực phẩm chay - Lò đậu hũ nóng Bắc Ninh</t>
  </si>
  <si>
    <t>41 Đ. Số 7</t>
  </si>
  <si>
    <t>https://streetviewpixels-pa.googleapis.com/v1/thumbnail?panoid=Tv3Q6vnzX06zh068rKmW6A&amp;cb_client=search.gws-prod.gps&amp;w=80&amp;h=92&amp;yaw=142.42044&amp;pitch=0&amp;thumbfov=100</t>
  </si>
  <si>
    <t>Takeout</t>
  </si>
  <si>
    <t>https://www.google.com/maps/place/Green+Box+%7C+%C4%90.+L%C3%AA+V%C4%83n+Mi%E1%BA%BFn+%7C+Th%E1%BA%A3o+%C4%90i%E1%BB%81n/data=!4m7!3m6!1s0x31752f3e15bc4c0b:0x29925267cd357e85!8m2!3d10.804643!4d106.732175!16s%2Fg%2F11jmzky2v3!19sChIJC0y8FT4vdTERhX41zWdSkik?authuser=0&amp;hl=en&amp;rclk=1</t>
  </si>
  <si>
    <t>Green Box | Đ. Lê Văn Miến | Thảo Điền</t>
  </si>
  <si>
    <t>6 Lê Văn Miến</t>
  </si>
  <si>
    <t>https://lh3.googleusercontent.com/gps-cs-s/APNQkAFCPceYLM25JeVSujoO5fONst8iVIS0wSLRXRxCl-yR2cX-TBz2CYcC2Z5BLBWdvKuwNfUyBfOrXAJMN7FKJLre0UIHmJpONjJ9z7ejJKn1Cfn7cN2j3kje-SSFf0k-bIMEnzituQ=w80-h99-k-no</t>
  </si>
  <si>
    <t>"Accommodating, exceptional attention to detail and great healthy variety."</t>
  </si>
  <si>
    <t>https://www.google.com/maps/place/Qu%C3%A1n+Thu%E1%BA%A7n+Chay+Happy+Veggies/data=!4m7!3m6!1s0x31752712f1564c51:0xeb680e81b4d47c9e!8m2!3d10.8040027!4d106.7309875!16s%2Fg%2F11h9bhpztr!19sChIJUUxW8RIndTERnnzUtIEOaOs?authuser=0&amp;hl=en&amp;rclk=1</t>
  </si>
  <si>
    <t>Quán Thuần Chay Happy Veggies</t>
  </si>
  <si>
    <t>33/12 Quốc Hương</t>
  </si>
  <si>
    <t>https://lh3.googleusercontent.com/gps-cs-s/APNQkAFBTopqo9vJB5bS93qdayQGmCR3eNUk_zXSk9M5SYtSiweIAv3je9QXSCq58i_c78_XQL1jgg_mdsG04SVYASNvo6C3btlt7mxtFl93tCgSj_1UyCddhQnGSOF3VmjRPOpwZg7WZA=w122-h92-k-no</t>
  </si>
  <si>
    <t>phở and very friendly staff."</t>
  </si>
  <si>
    <t>https://www.google.com/maps/place/Khai+T%C3%A2m+Vegetarian+Food/data=!4m7!3m6!1s0x3175270ee41ece0f:0xc449e97f9fa6da21!8m2!3d10.8060956!4d106.7510874!16s%2Fg%2F11y3_yv7sb!19sChIJD84e5A4ndTERIdqmn3_pScQ?authuser=0&amp;hl=en&amp;rclk=1</t>
  </si>
  <si>
    <t>Khai Tâm Vegetarian Food</t>
  </si>
  <si>
    <t>28 Đường số 13</t>
  </si>
  <si>
    <t>https://lh3.googleusercontent.com/gps-cs-s/APNQkAE73R-pvwrF1d7aG3UQuDvaSt9ptSC27TK629uDBc19D_WyilK1fQLv4cMzPTNkWOPB8IZv6O6RfxiI5V3RmXmiUd0MdKOk5ktd0nsV0q0RRicpqZfTmXCIMbtEiydMh62fw28K=w122-h92-k-no</t>
  </si>
  <si>
    <t>"Exept the Curry, everything Else is actually</t>
  </si>
  <si>
    <t>https://www.google.com/maps/place/Roots+%26+Rise/data=!4m7!3m6!1s0x3175270016f0c36d:0xf3263f08ab6aacf1!8m2!3d10.8120476!4d106.7348551!16s%2Fg%2F11wxpdc7xv!19sChIJbcPwFgAndTER8axqqwg_JvM?authuser=0&amp;hl=en&amp;rclk=1</t>
  </si>
  <si>
    <t>Roots &amp; Rise</t>
  </si>
  <si>
    <t>215H1C, Nguyễn Văn Hưởng</t>
  </si>
  <si>
    <t>https://lh3.googleusercontent.com/gps-cs-s/APNQkAEu7ltMN2hc0S40FN7w8U_W8Nubr4zWtu8vj1KtLBDmR9R_3SXCVpC9mhmo3DLZ0TI8gNKbmWviS1LnH5H4AKg0GofvBQPGccx8c7BqBzYt9bUmtsCH40ZehVMZ3WnDfFyhfym-jYaEF3JZ=w80-h142-k-no</t>
  </si>
  <si>
    <t>"Beautiful, serene little slice of</t>
  </si>
  <si>
    <t>heaven."</t>
  </si>
  <si>
    <t>https://www.google.com/maps/place/Baba%27s+Kitchen+Indian+Restaurant+-+Thao+Dien/data=!4m7!3m6!1s0x3175262237da0859:0x2e8c079ba024e026!8m2!3d10.8055277!4d106.733663!16s%2Fg%2F11dyz97wlm!19sChIJWQjaNyImdTERJuAkoJsHjC4?authuser=0&amp;hl=en&amp;rclk=1</t>
  </si>
  <si>
    <t>Baba's Kitchen Indian Restaurant - Thao Dien</t>
  </si>
  <si>
    <t>https://lh3.googleusercontent.com/gps-cs-s/APNQkAGuntwPsWDf1ueQZGKHG8BGs6dAcRiHayTdAxvOLGjRgVZHIWz24kKdgFneGajT-yekbs2JLZ8-hyhTF5JoCIYSUPO6pFKcdpHepUc9iqwChf3SGAYk8llCXdIG-c1GTRbualrdzZ36hps=w163-h92-k-no</t>
  </si>
  <si>
    <t>"The menu has a great variety of options, including plenty for vegetarians."</t>
  </si>
  <si>
    <t>35 Lê Văn Miến</t>
  </si>
  <si>
    <t>https://www.google.com/maps/place/YUKINO+Foods+Japan/data=!4m7!3m6!1s0x317527d3f9101d23:0xef94ce47b61983e4!8m2!3d10.803137!4d106.736952!16s%2Fg%2F11h9g3fp15!19sChIJIx0Q-dMndTER5IMZtkfOlO8?authuser=0&amp;hl=en&amp;rclk=1</t>
  </si>
  <si>
    <t>YUKINO Foods Japan</t>
  </si>
  <si>
    <t>39 Nguyễn Duy Hiệu</t>
  </si>
  <si>
    <t>https://lh3.googleusercontent.com/gps-cs-s/APNQkAE9ypDFVcTRaBXpC-IY5HaSj63qcQ4TCx8vqSkbfzewFDr1wugoXMvPjYT4RaHwQVKP-UESoBWMYuqy-WXD_5OaOaTgw9P1WmQ0R7QQtn9GVAmOUhEuYQe0lBuvTO5PNmJMJ2la=w138-h92-k-no</t>
  </si>
  <si>
    <t>"They have</t>
  </si>
  <si>
    <t>milk tea with pearls here and on their menu!"</t>
  </si>
  <si>
    <t>https://www.google.com/maps/place/L%C3%A9gumes+Vietnam+-+Healthy+Groceries,+Juice,+Acai,+Smoothie+Bar/data=!4m7!3m6!1s0x3175277f33c4dabf:0xc2c4ce7c68a6ae4e!8m2!3d10.8035862!4d106.7284826!16s%2Fg%2F11h1z1t6x8!19sChIJv9rEM38ndTERTq6maHzOxMI?authuser=0&amp;hl=en&amp;rclk=1</t>
  </si>
  <si>
    <t>Légumes Vietnam - Healthy Groceries, Juice, Acai, Smoothie Bar</t>
  </si>
  <si>
    <t>· Closes 9:30 PM</t>
  </si>
  <si>
    <t>https://lh3.googleusercontent.com/gps-cs-s/APNQkAHY2cFebmI17I7PpSMWpCu6MUBLEwSnyyfX4XkD9bHj_6-yJI3fx4b47UmDzlpqeKL3UmAwoBs_h1Q1P2NIR276owJgiy3rzkthgEaoQCdRnrtkn87XaIsXW-9sPNWds_9ICNA=w138-h92-k-no</t>
  </si>
  <si>
    <t>is good, and they have so many</t>
  </si>
  <si>
    <t>40 Đ. Nguyễn Cừ</t>
  </si>
  <si>
    <t>https://www.google.com/maps/place/C%C6%A1m+chay+thi%E1%BB%87n+t%C3%A2m/data=!4m7!3m6!1s0x317527004d9add45:0x237d2450581cfa2e!8m2!3d10.7938659!4d106.7351801!16s%2Fg%2F11xnmgytmb!19sChIJRd2aTQAndTERLvocWFAkfSM?authuser=0&amp;hl=en&amp;rclk=1</t>
  </si>
  <si>
    <t>Cơm chay thiện tâm</t>
  </si>
  <si>
    <t>15 Đ. Vành Đai Tây</t>
  </si>
  <si>
    <t>https://lh3.googleusercontent.com/gps-cs-s/APNQkAFmpyabZix3ofMci2w7avzKUhYlefEz_IHEdKgHvmxijsphnmEGY_sj46J5V7YYu60shsK8j9blT01m699QOL1tr1FV4lfpvdNoFm_vUodwvZiNzMDcQ16gNypMCAW7dvBx4YlfBYrFph59=w80-h177-k-no</t>
  </si>
  <si>
    <t>"Super super delicious, many traditional dishes of Vietnam for break fast."</t>
  </si>
  <si>
    <t>https://www.google.com/maps/place/Xanh+vegan+and+vegetarian/data=!4m7!3m6!1s0x317529262821a143:0x65f789063aa8afae!8m2!3d10.7919385!4d106.7195364!16s%2Fg%2F11jgq4cmvc!19sChIJQ6EhKCYpdTERrq-oOgaJ92U?authuser=0&amp;hl=en&amp;rclk=1</t>
  </si>
  <si>
    <t>Xanh vegan and vegetarian</t>
  </si>
  <si>
    <t>hẻm 132 132/41 Nguyễn Hữu Cảnh</t>
  </si>
  <si>
    <t>· Closes 11:30 PM</t>
  </si>
  <si>
    <t>https://lh3.googleusercontent.com/gps-cs-s/APNQkAHqZJDXMmj0xEJA9ytrK8VHsa1wVXGriJY-YPOjF4EcTjUODQszCysjUh6hIbPHhXZYtLtTURPc_o7qH3TqobjZBFjoQp4QwyaoWYeYKt94izED3IxUvlyzIW1vIaxcIRAdyn7O=w80-h106-k-no</t>
  </si>
  <si>
    <t>, eco friendly packaging, generous portions and good price."</t>
  </si>
  <si>
    <t>https://www.google.com/maps/place/Casablanca+Moroccan+Flavors/data=!4m7!3m6!1s0x317527946c479a99:0xdd72205dc9cb9018!8m2!3d10.8044683!4d106.7395548!16s%2Fg%2F11yw2tslws!19sChIJmZpHbJQndTERGJDLyV0gct0?authuser=0&amp;hl=en&amp;rclk=1</t>
  </si>
  <si>
    <t>Casablanca Moroccan Flavors</t>
  </si>
  <si>
    <t>19 Trần Ngọc Diện</t>
  </si>
  <si>
    <t>https://lh3.googleusercontent.com/gps-cs-s/APNQkAHk9TbIcsW9eMDe-jLfdH9U87QI2MaC8WC1yKR0218yR_2E1yIPbg_nrduNer7BDb193qHlI6DvCIT9okPY_93i3AsiDQmS049upOH_DPI4bYkA5jHrzBsdMv6QamLlyDzmx98iEJ-CMKUv=w80-h106-k-no</t>
  </si>
  <si>
    <t>"The portion for each dish is huge, needs at least 2 people to finish."</t>
  </si>
  <si>
    <t>https://www.google.com/maps/place/We+Desi+Tadka+pure+vegetarian+Indian+restaurant/data=!4m7!3m6!1s0x31752fa42f902c89:0x2986500e958c8491!8m2!3d10.768231!4d106.693986!16s%2Fg%2F11wx6w9klh!19sChIJiSyQL6QvdTERkYSMlQ5Qhik?authuser=0&amp;hl=en&amp;rclk=1</t>
  </si>
  <si>
    <t>We Desi Tadka pure vegetarian Indian restaurant</t>
  </si>
  <si>
    <t>185/30 Phạm Ngũ Lão</t>
  </si>
  <si>
    <t>Open 24 hours</t>
  </si>
  <si>
    <t>https://lh3.googleusercontent.com/gps-cs-s/APNQkAERwz5kxpWhOMExAeswSZhV69pdqX3Hunwttl5LlZrOJ35a_rUtmmEcVpQLwpX_FtbJhGVwcQByUG7PzlEtKz7a2d50YOsFNDsusPX-gX0XssoFNG7UwJb8KdxEHDNGm0vz2l_MZ19JMXVH=w122-h92-k-no</t>
  </si>
  <si>
    <t>, top-notch service, 👍🏻and outstanding ambiance."</t>
  </si>
  <si>
    <t>https://www.google.com/maps/place/Thien+Duyen+Vegetarian+Restaurant/data=!4m7!3m6!1s0x317527f623e2f729:0xb4a0fe4c5a87ee5e!8m2!3d10.8031576!4d106.752121!16s%2Fg%2F11q4h7ld4x!19sChIJKffiI_YndTERXu6HWkz-oLQ?authuser=0&amp;hl=en&amp;rclk=1</t>
  </si>
  <si>
    <t>Thien Duyen Vegetarian Restaurant</t>
  </si>
  <si>
    <t>https://lh3.googleusercontent.com/gps-cs-s/APNQkAH84SdWDiPLOnpIfL5YQM2T_Gbw6s6rBD4Lp8J5myi08q9U0GOX2GMZm85ZRmEc56ktDeyUDuhzY90ePGxN-N4cs6sm-4EqVldKFXKw9TR4vR8pUWqf8XTJS27eWwgjVlEKeNE-=w122-h92-k-no</t>
  </si>
  <si>
    <t>"Southern</t>
  </si>
  <si>
    <t>is great... a large space."</t>
  </si>
  <si>
    <t>505B Võ Nguyên Giáp</t>
  </si>
  <si>
    <t>https://www.google.com/maps/place/The+Joi+Factory+%28Vegetarian+Caf%C3%A9+Restaurant%29/data=!4m7!3m6!1s0x31752f3b61a1c881:0x22eb580f5f5488d0!8m2!3d10.7653559!4d106.6866134!16s%2Fg%2F11jg89cc0w!19sChIJgcihYTsvdTER0IhUXw9Y6yI?authuser=0&amp;hl=en&amp;rclk=1</t>
  </si>
  <si>
    <t>The Joi Factory (Vegetarian Café Restaurant)</t>
  </si>
  <si>
    <t>Bistro</t>
  </si>
  <si>
    <t>Hẻm 212/2B1 Nguyễn Trãi</t>
  </si>
  <si>
    <t>https://lh3.googleusercontent.com/gps-cs-s/APNQkAG96jZJ0s7jsvQ6IliAls7WbT5uoEFCbl0Uzwg9pPJmnaA-mt-JdSZkSYvXAJW2s-gRpO4hDOmuPfGYw5nKmvxHLPJIhpVfrwAh4zm2tBgv4Q6fAt_H_O5khp3-ZLGzXn7YsV7TTZH7_0UV=w122-h92-k-no</t>
  </si>
  <si>
    <t>"Relaxing ambiance, great staff, delicious</t>
  </si>
  <si>
    <t>https://www.google.com/maps/place/B%C3%BAn+ri%C3%AAu+chay+mi%E1%BB%85n+ph%C3%AD/data=!4m7!3m6!1s0x3175279c4a82bcc7:0x7070ae1b8db4769b!8m2!3d10.8028135!4d106.7304438!16s%2Fg%2F11plg4shkm!19sChIJx7yCSpwndTERm3a0jRuucHA?authuser=0&amp;hl=en&amp;rclk=1</t>
  </si>
  <si>
    <t>Bún riêu chay miễn phí</t>
  </si>
  <si>
    <t>44 Xuân Thủy</t>
  </si>
  <si>
    <t>https://lh3.googleusercontent.com/gps-cs-s/APNQkAGBIjPY4W3BShBk7DQjppHMOawihyvyUPpAR9YgfSLJk20CS8U-wDPW62rSKQubZcMxKvR9bggrvV3tY-cRU6GF6T_4VgnQAFHCBq_fPnJSk08xrnb2eXFnPli0WSYNiKGBwF9Z=w122-h92-k-no</t>
  </si>
  <si>
    <t>https://www.google.com/maps/place/Com+Tam+Chay+Thanh+Cao/data=!4m7!3m6!1s0x31752f007b740a89:0x3b2cdb5ba567ffd6!8m2!3d10.7589212!4d106.7011623!16s%2Fg%2F11ynzgv4n1!19sChIJiQp0ewAvdTER1v9npVvbLDs?authuser=0&amp;hl=en&amp;rclk=1</t>
  </si>
  <si>
    <t>Com Tam Chay Thanh Cao</t>
  </si>
  <si>
    <t>56 Đ. Số 41</t>
  </si>
  <si>
    <t>https://lh3.googleusercontent.com/gps-cs-s/APNQkAG7qAwe2PdW3XVLFEm0rQoJ8klCVjf0IMATEmJCehCBQbhNQKsOMD4D0bLrppsQCIzUV5nI1ELrx90aAt67ClUfIcOJCbXCFDVPfRL-QxXiP7BaUxZJdYQPhZs1yJdF7hm3LOlweNeD-5l7=w80-h106-k-no</t>
  </si>
  <si>
    <t>and the service is super nice!"</t>
  </si>
  <si>
    <t>https://www.google.com/maps/place/Nh%C3%A0+h%C3%A0ng+chay+Di%E1%BB%87u+H%E1%BA%A1nh+-+The+Galleria/data=!4m7!3m6!1s0x31752f890ac8c581:0x541310e9f21336d8!8m2!3d10.7789753!4d106.7136966!16s%2Fg%2F11kq85n65_!19sChIJgcXICokvdTER2DYT8ukQE1Q?authuser=0&amp;hl=en&amp;rclk=1</t>
  </si>
  <si>
    <t>Nhà hàng chay Diệu Hạnh - The Galleria</t>
  </si>
  <si>
    <t>20 Nguyễn Thiện Thành</t>
  </si>
  <si>
    <t>https://lh3.googleusercontent.com/gps-cs-s/APNQkAFEHgLzXI0Kco6Dvo-1oS8r_2M0hmxCFt3L8cIwfIRINbMQVMNaZtU96GlX7dnbeHgk0-xRLlvi7EzKEJqTCsfmdfklJkNvCRKlDWZt0tkKGE1nIov1B6CFombGjOkZZHqyIPYiKYwH1eb1=w122-h92-k-no</t>
  </si>
  <si>
    <t>"All the menu items are</t>
  </si>
  <si>
    <t>and extremely tasty."</t>
  </si>
  <si>
    <t>https://www.google.com/maps/place/Amitaba+Vegetarian+Restaurant/data=!4m7!3m6!1s0x31752f15039af52b:0xa72c4e69add2cb72!8m2!3d10.7650756!4d106.6973781!16s%2Fg%2F11f40028wt!19sChIJK_WaAxUvdTERcsvSrWlOLKc?authuser=0&amp;hl=en&amp;rclk=1</t>
  </si>
  <si>
    <t>Amitaba Vegetarian Restaurant</t>
  </si>
  <si>
    <t>https://lh3.googleusercontent.com/gps-cs-s/APNQkAETy8c8pOGT1p5CjqVTFy2iM0Am3Zx8G5geX5smpOiCq0gDf3CdIUXPhJ4XyI7HDL1DjSpDUyO75dmpw_2SihG_cYDvnMGUlFSZ4-ZfjX0y96bo-yrXlg2XBGmpqQphrsuG6bQxxcnzkiXL=w80-h106-k-no</t>
  </si>
  <si>
    <t>for a great price."</t>
  </si>
  <si>
    <t>40 Nguyễn Thái Học</t>
  </si>
  <si>
    <t>https://www.google.com/maps/place/V%C6%B0%E1%BB%9Dn+chay+Di%E1%BB%87u+Gi%C3%A1c/data=!4m7!3m6!1s0x317527b8afd0ed1b:0xa654d445efedaed7!8m2!3d10.7885877!4d106.7301262!16s%2Fg%2F11xlr9b7cf!19sChIJG-3Qr7gndTER167t70XUVKY?authuser=0&amp;hl=en&amp;rclk=1</t>
  </si>
  <si>
    <t>Vườn chay Diệu Giác</t>
  </si>
  <si>
    <t>181 Trần Não</t>
  </si>
  <si>
    <t>https://lh3.googleusercontent.com/gps-cs-s/APNQkAGdIIvBN7tGQv20UxN2lohlHFZm3RUL8bnwAz7s_st8BUTqlkXxUsogpG6BRm3N5uCgZa9qeZZWBX42sut1ZGM2NGCqR6bTxBeGN-MgqYWaAB0jXhrun9Msi6-wwqfM6iWwi8dJ_mLZA3jZ=w80-h106-k-no</t>
  </si>
  <si>
    <t>"I was pleasantly surprised at how delicious and affordable the meals are!"</t>
  </si>
  <si>
    <t>https://www.google.com/maps/place/Filthy+Vegan/data=!4m7!3m6!1s0x31752f666798070d:0x89f2c77331d1e65f!8m2!3d10.7649171!4d106.6947502!16s%2Fg%2F11hzyv036d!19sChIJDQeYZ2YvdTERX-bRMXPH8ok?authuser=0&amp;hl=en&amp;rclk=1</t>
  </si>
  <si>
    <t>Filthy Vegan</t>
  </si>
  <si>
    <t>https://lh3.googleusercontent.com/gps-cs-s/APNQkAF-wd2xUiJ-_n3fTqQTnjbttxIriy9lq3S5lrHRSvlP_OKLOBwKsr3_LnrsBI7vDHue1wu3ULFPKiXryTBOtOM-sJew86ZmBv-pyN6paTZGPTz498ZCr0j_37Vs0vyCBqPbwA3F=w80-h106-k-no</t>
  </si>
  <si>
    <t>comfort</t>
  </si>
  <si>
    <t>86 Cô Bắc</t>
  </si>
  <si>
    <t>https://www.google.com/maps/place/Rau+%C6%A0i+%E2%80%93+Nh%C3%A0+H%C3%A0ng+Chay/data=!4m7!3m6!1s0x3175297d2bf39315:0x18fbc9763da5630!8m2!3d10.768589!4d106.698074!16s%2Fg%2F11rhsyn223!19sChIJFZPzK30pdTERMFbaY5e8jwE?authuser=0&amp;hl=en&amp;rclk=1</t>
  </si>
  <si>
    <t>Rau Ơi – Nhà Hàng Chay</t>
  </si>
  <si>
    <t>https://lh3.googleusercontent.com/gps-cs-s/APNQkAHxmnbyOnGDGNX2X5tjhZ1bHEX-JWZJGM10jiU1rxOOgunQiRnGOevhNwidbT2my13H8lQXaNXFRv-5NoK5hC1i6-MxeFHqTaqPRLZudPcMdpg4tkqors8jz9EjsXJiapdj_OmznqPQZX6e=w122-h92-k-no</t>
  </si>
  <si>
    <t>vegetarian/vegan restaurant</t>
  </si>
  <si>
    <t>with kind and friendly staff."</t>
  </si>
  <si>
    <t>55/15 Lê Thị Hồng Gấm</t>
  </si>
  <si>
    <t>https://www.google.com/maps/place/De+Tham+Restaurant+-+Vietnamese+cuisine+%26+vegetarian+Food/data=!4m7!3m6!1s0x31752fe948e20f7f:0x5a5f1358daf89ccf!8m2!3d10.7682442!4d106.6936304!16s%2Fg%2F11why8sz0c!19sChIJfw_iSOkvdTERz5z42lgTX1o?authuser=0&amp;hl=en&amp;rclk=1</t>
  </si>
  <si>
    <t>De Tham Restaurant - Vietnamese cuisine &amp; vegetarian Food</t>
  </si>
  <si>
    <t>258 Đề Thám</t>
  </si>
  <si>
    <t>https://lh3.googleusercontent.com/gps-cs-s/APNQkAFGOngC9NTCxmPhBPCtermFxckreGF57hz9BtpVjHaHD3aNaQli24YrhPArwr6KeZLnvZf_vEWLA59i0nen3E_nQWMulf2PWVGK_t1Z7mmydZl9b3IdqCDbstBIiWquC2vRTWb7DKJduu0=w122-h92-k-no</t>
  </si>
  <si>
    <t>"We ordered everything</t>
  </si>
  <si>
    <t>here and the</t>
  </si>
  <si>
    <t>https://www.google.com/maps/place/Ono+Poke+Co./data=!4m7!3m6!1s0x317527ff6c8c789d:0xb5f6b922b7755779!8m2!3d10.8037164!4d106.7349952!16s%2Fg%2F11ght0_w1z!19sChIJnXiMbP8ndTEReVd1tyK59rU?authuser=0&amp;hl=en&amp;rclk=1</t>
  </si>
  <si>
    <t>Ono Poke Co.</t>
  </si>
  <si>
    <t>https://lh3.googleusercontent.com/gps-cs-s/APNQkAECDFXxUov3CIy2Iur5Uo6XwJde2xwKM5_mIGzEHzPmp7kOODNGHRvJpumVsmhS4EPZ6kJv3B0aqzeCeywcGZHMda9kEAo-CkQhT6J0HaTghCF0aH72pvpffJww0mSpOSnRXTA=w138-h92-k-no</t>
  </si>
  <si>
    <t>"Very nice healthy</t>
  </si>
  <si>
    <t>,well done well prepared and huge portion."</t>
  </si>
  <si>
    <t>94 Xuân Thủy</t>
  </si>
  <si>
    <t>https://www.google.com/maps/place/Qu%C3%A1n+Chay+L%E1%BB%A5c+H%C3%B2a+-+Vegetarian+Food/data=!4m7!3m6!1s0x317529c902304233:0x36e40983a9e64800!8m2!3d10.8035694!4d106.7210512!16s%2Fg%2F11rzwqhbxd!19sChIJM0IwAskpdTERAEjmqYMJ5DY?authuser=0&amp;hl=en&amp;rclk=1</t>
  </si>
  <si>
    <t>Quán Chay Lục Hòa - Vegetarian Food</t>
  </si>
  <si>
    <t>191 Nguyễn Văn Thương</t>
  </si>
  <si>
    <t>https://lh3.googleusercontent.com/gps-cs-s/APNQkAE2C_16c9sOAX20AolsFF7IzdQXFK0waRgGyqrnFg4zNeI0OOJZCQz2gtBuaBpcftXMBRnHijtYLi8kgkXeFguUT4lDNvol4lKBMemVhX4mivVNrM17M2nMT5ODgyOC8U7uOXQ=w194-h92-k-no</t>
  </si>
  <si>
    <t>"We had a nice Vietnamese</t>
  </si>
  <si>
    <t>breakfast here, braised tofu, hu tori, yummm"</t>
  </si>
  <si>
    <t>https://www.google.com/maps/place/T%E1%BB%8ANH+V%E1%BB%8A+Vegan+Restaurant+-+Caf%C3%A9+%26+Tea+House/data=!4m7!3m6!1s0x31752538eb4f5349:0xc89e6827652da1b0!8m2!3d10.723496!4d106.7280633!16s%2Fg%2F11z3mt_y0g!19sChIJSVNP6zgldTERsKEtZSdonsg?authuser=0&amp;hl=en&amp;rclk=1</t>
  </si>
  <si>
    <t>TỊNH VỊ Vegan Restaurant - Café &amp; Tea House</t>
  </si>
  <si>
    <t>45 Đường C</t>
  </si>
  <si>
    <t>https://lh3.googleusercontent.com/gps-cs-s/APNQkAEj6G3aUT616tih33g_ghtcm5RriNwGWJaELCyyFDUWVXAoZwLpw5kZdWqFApbVVh4sIbp7nemybbtbUBoymwD2JYLi_wiR3mqP9OdVyIpZ5RXike_3ePZSSW_MPcHLukU_e2vfodRWwrqm=w122-h92-k-no</t>
  </si>
  <si>
    <t>very delicious and nice service."</t>
  </si>
  <si>
    <t>https://www.google.com/maps/place/Golden+Lotus+Vegan+Restaurant+-+Coffe/data=!4m7!3m6!1s0x31752f6551d478e1:0x9cded1a1ba44c85d!8m2!3d10.7234968!4d106.7281066!16s%2Fg%2F11vlwhs07c!19sChIJ4XjUUWUvdTERXchEuqHR3pw?authuser=0&amp;hl=en&amp;rclk=1</t>
  </si>
  <si>
    <t>Golden Lotus Vegan Restaurant - Coffe</t>
  </si>
  <si>
    <t>https://lh3.googleusercontent.com/gps-cs-s/APNQkAGsD4LKUI1lzjMJjQr2XJ__PZPWk61XlYyseIKELEXG-5uK3i7D8r2hTK1-EdFKWhsakNVfP1X3xscYOlqybGtpjWdyUyPv_dAoI5isNOk4v0XE4B_GPqA8y68KKerXCS23th8G=w92-h92-k-no</t>
  </si>
  <si>
    <t>"Fantastic</t>
  </si>
  <si>
    <t>in Saigon, really nice staff and great service."</t>
  </si>
  <si>
    <t>https://www.google.com/maps/place/AN+vegetarian+restaurant+%26+cafe/data=!4m7!3m6!1s0x317525ccb9333c99:0xda58d8a6074bac72!8m2!3d10.7198048!4d106.7311906!16s%2Fg%2F11fklj_sv0!19sChIJmTwzucwldTERcqxLB6bYWNo?authuser=0&amp;hl=en&amp;rclk=1</t>
  </si>
  <si>
    <t>AN vegetarian restaurant &amp; cafe</t>
  </si>
  <si>
    <t>Phố Tiểu Nam/75 Phú Mỹ Hưng</t>
  </si>
  <si>
    <t>https://lh3.googleusercontent.com/gps-cs-s/APNQkAF158nfsbYNraDt_Jxen7db4ezEFU1-s1R02GH0RT3lvtgOSk6vYuDoXfl2dqqmeaT75BK3Rd8IXs2toHXj86RcLcah71NpQp7J65uWU3EAZJyYWwhvryHz6j_Gzto1AwjoYKEE=w138-h92-k-no</t>
  </si>
  <si>
    <t>"Best place for who eat</t>
  </si>
  <si>
    <t>, quiet, comfort and clean place."</t>
  </si>
  <si>
    <t>https://www.google.com/maps/place/AN+-+nh%C3%A0+h%C3%A0ng+chay+An+%26+cafe+-+Ph%E1%BA%A1m+Th%C3%A1i+B%C6%B0%E1%BB%9Dng/data=!4m7!3m6!1s0x31752f1b223d3a45:0x9f3b5d0dd2597ef3!8m2!3d10.7275792!4d106.7124718!16s%2Fg%2F11s57yrk_7!19sChIJRTo9IhsvdTER835Z0g1dO58?authuser=0&amp;hl=en&amp;rclk=1</t>
  </si>
  <si>
    <t>AN - nhà hàng chay An &amp; cafe - Phạm Thái Bường</t>
  </si>
  <si>
    <t>220 Phạm Thái Bường</t>
  </si>
  <si>
    <t>https://lh3.googleusercontent.com/gps-cs-s/APNQkAF1mhxKmGGO1mPyKBSCin8mxcIYO0bVtb9qOPeW4El2eh7UpndrsPFuoO59GKsh5NrByHKOCwK3XChMzZN1x0LKxxp92jf34c48-ewubVIvupsCmw0TfeWwMcuUti8-0EfvNuMO=w122-h92-k-no</t>
  </si>
  <si>
    <t>"It's my first</t>
  </si>
  <si>
    <t>vegan restaurant</t>
  </si>
  <si>
    <t>experience and it's so delicious and healthy!"</t>
  </si>
  <si>
    <t>https://www.google.com/maps/place/Nh%C3%A0+H%C3%A0ng+CHAY+365+-+%E1%BA%A8m+Th%E1%BB%B1c+Chay+%26+L%E1%BA%A9u+Chay+Th%C6%B0%E1%BB%A3ng+H%E1%BA%A1ng/data=!4m7!3m6!1s0x3175254f5c1ba6c7:0xe8f99b079cc1474a!8m2!3d10.7502899!4d106.7356134!16s%2Fg%2F11kj9lhjk0!19sChIJx6YbXE8ldTERSkfBnAeb-eg?authuser=0&amp;hl=en&amp;rclk=1</t>
  </si>
  <si>
    <t>Nhà Hàng CHAY 365 - Ẩm Thực Chay &amp; Lẩu Chay Thượng Hạng</t>
  </si>
  <si>
    <t>210 Bùi Văn Ba</t>
  </si>
  <si>
    <t>https://lh3.googleusercontent.com/gps-cs-s/APNQkAEkfagu9uEqXUk4Z8baCjZg3ICDMMfuVklZgeQK3g9EL5Z2n7KfoWjGlaWbeWHDx8ti9LTUaumNLKxIMyUuoQFVQ_JiBoa_7HYst3OovmkPanQcQygIhegy5qDSMToBEGTa2s65=w122-h92-k-no</t>
  </si>
  <si>
    <t>"Really an amazing place to eat</t>
  </si>
  <si>
    <t>vegan/vegetarian</t>
  </si>
  <si>
    <t>Banh mi and salted coffee."</t>
  </si>
  <si>
    <t>https://www.google.com/maps/place/Nh%C3%A0+h%C3%A0ng+thu%E1%BA%A7n+chay+Ngon+Vegan+Dining+%26+Cafe+-+Nguy%E1%BB%85n+Cao/data=!4m7!3m6!1s0x31752f0043507b35:0xbd73279122c4ae3a!8m2!3d10.722411!4d106.7124706!16s%2Fg%2F11x6wzj1r5!19sChIJNXtQQwAvdTEROq7EIpEnc70?authuser=0&amp;hl=en&amp;rclk=1</t>
  </si>
  <si>
    <t>Nhà hàng thuần chay Ngon Vegan Dining &amp; Cafe - Nguyễn Cao</t>
  </si>
  <si>
    <t>https://lh3.googleusercontent.com/gps-cs-s/APNQkAE76av07omrTU0hUHpu3cVShiE7m7CHz1zz-LxFlEkYAqIuosAJmc672d_PC2r6v3emuI8SVYoF1xpT3cd_xyqjVWZtU1trjP_OK8rFFTz3Q5vlMj6jReueVc13I781zbCXuvC9civCxAao=w138-h92-k-no</t>
  </si>
  <si>
    <t>"The portions are generous, yet the plating is neat and thoughtful."</t>
  </si>
  <si>
    <t>135 Nguyễn Cao</t>
  </si>
  <si>
    <t>https://www.google.com/maps/place/Mantra+Vegetarian+Restaurant/data=!4m7!3m6!1s0x317525f4d06b5e2d:0xf8f9a7a57e6adbc8!8m2!3d10.7300534!4d106.7094791!16s%2Fg%2F11t5x6_5cn!19sChIJLV5r0PQldTERyNtqfqWn-fg?authuser=0&amp;hl=en&amp;rclk=1</t>
  </si>
  <si>
    <t>Mantra Vegetarian Restaurant</t>
  </si>
  <si>
    <t>https://lh3.googleusercontent.com/gps-cs-s/APNQkAF3VQkEB58VJlGfc2x2wqtDk-iVO_jnTheu76wIF7TPn3hVW5CgK64Vv9yMKYplgbUYWPKl8E_i78aPTBD2zB7Svb3FAargJhZz4cH8P2oFmY3_lHGf1Xo5-FxQyEwMO1j1Cd5dXw=w102-h92-k-no</t>
  </si>
  <si>
    <t>"My meal tasted healthy, nutritious, and delicious!"</t>
  </si>
  <si>
    <t>SHOP HOUSE J040 CHUNG CƯ HƯNG VƯỢNG, 1 Đường số 6</t>
  </si>
  <si>
    <t>https://www.google.com/maps/place/Chay+Tu%E1%BB%87+Garden+-+Nguy%E1%BB%85n+B%C3%ADnh/data=!4m7!3m6!1s0x31752f2581753a33:0x27d514c6cea786f8!8m2!3d10.7280502!4d106.7103638!16s%2Fg%2F11vxxvtf0g!19sChIJMzp1gSUvdTER-IanzsYU1Sc?authuser=0&amp;hl=en&amp;rclk=1</t>
  </si>
  <si>
    <t>Chay Tuệ Garden - Nguyễn Bính</t>
  </si>
  <si>
    <t>Nguyễn Bính/101 Khu Phố Mỹ Hoàng</t>
  </si>
  <si>
    <t>https://lh3.googleusercontent.com/gps-cs-s/APNQkAHSK2DpULhqN4xi9pQkDvjZTLAIBHmXKDWST28HJ9NVByAChapwIfcijSOPdPNpoT4z1a8OqALWyP1ko1TKiLP1Wd9f-nQycpQ_O9evCIkPoZYs5szrkuzVbVpPCOJRYgTcOh_eeqOSaZ55=w122-h92-k-no</t>
  </si>
  <si>
    <t>in a relaxing place."</t>
  </si>
  <si>
    <t>https://www.google.com/maps/place/Chay+Rau+C%E1%BB%A7+N%E1%BA%A5m+Vegan+L%C3%AA+V%C4%83n+L%C6%B0%C6%A1ng/data=!4m7!3m6!1s0x31752fb422f81a2f:0xd0f8a1aabe1bf6f6!8m2!3d10.7339125!4d106.7020228!16s%2Fg%2F11r9vj06bw!19sChIJLxr4IrQvdTER9vYbvqqh-NA?authuser=0&amp;hl=en&amp;rclk=1</t>
  </si>
  <si>
    <t>Chay Rau Củ Nấm Vegan Lê Văn Lương</t>
  </si>
  <si>
    <t>557 Lê Văn Lương</t>
  </si>
  <si>
    <t>https://lh3.googleusercontent.com/gps-cs-s/APNQkAFZXMNfPx1xSipq305JJppwcXo7xXSt-8mddt4I4dgilyqcgoRg9PJ7Ts3FLM4kRzkrM6Q5StpL5OwmlHRy9jwUCcY_ZTR9JMXQGhMteD4_2u4pr668amFcSVmkVUQgEP2tl3unHn_fHgo=w122-h92-k-no</t>
  </si>
  <si>
    <t>"We enjoyed a super tasty</t>
  </si>
  <si>
    <t>hotpot for 210k VND ($8) for 3 people."</t>
  </si>
  <si>
    <t>https://www.google.com/maps/place/Green+%26+Greener+Vegetarian/data=!4m7!3m6!1s0x31752f8f7661799f:0xd011f7d60643435c!8m2!3d10.7333627!4d106.7068561!16s%2Fg%2F11xzt2d1s1!19sChIJn3lhdo8vdTERXENDBtb3EdA?authuser=0&amp;hl=en&amp;rclk=1</t>
  </si>
  <si>
    <t>Green &amp; Greener Vegetarian</t>
  </si>
  <si>
    <t>46 Nội Khu Hưng Gia 2</t>
  </si>
  <si>
    <t>https://lh3.googleusercontent.com/gps-cs-s/APNQkAEuv6DGkBHFJDJe_JXS9M1g9gDJT27iPapRqcBXCTJIp74BsJezHCPYDLLlLSRLZy7CKW78nzq2WgMvEpc3y7wy3X6C1M-7D7cT3acYB0KhvhK6VOJ2IbX4ZW8nKj_PP-X1Tz9lq3rfFNI9=w122-h92-k-no</t>
  </si>
  <si>
    <t>"Incredible friggin</t>
  </si>
  <si>
    <t>https://www.google.com/maps/place/B%C3%BAn+%26+Cu%E1%BB%91n+Thu%E1%BA%A7n+Chay/data=!4m7!3m6!1s0x317525ccee0bf6bf:0x8f22126334df46e!8m2!3d10.7045066!4d106.7360413!16s%2Fg%2F11svwcy_yg!19sChIJv_YL7swldTERbvRNMyYh8gg?authuser=0&amp;hl=en&amp;rclk=1</t>
  </si>
  <si>
    <t>Bún &amp; Cuốn Thuần Chay</t>
  </si>
  <si>
    <t>· Closes 12 PM</t>
  </si>
  <si>
    <t>https://lh3.googleusercontent.com/gps-cs-s/APNQkAH1dibzYFExSwNBr0jbVZ3CT3GGKtoZ4a0ktHwEWrC5if0eMpEwurGdNBrmMzUHWA-ITZlcsUor859HX51ija8AaIoNdatzEpLyFM1xFJ3CeC83-9H0fZOj_W_cYiJ1BczDPeFfAA=w80-h106-k-no</t>
  </si>
  <si>
    <t>49/3 Phạm Hữu Lầu</t>
  </si>
  <si>
    <t>https://www.google.com/maps/place/Qu%C3%A1n+chay+Thi%E1%BB%87n+Quang/data=!4m7!3m6!1s0x31752f9ab2e0ba17:0xac92afc83a4ddbf9!8m2!3d10.7517413!4d106.7139471!16s%2Fg%2F11jgzdg7ll!19sChIJF7rgspovdTER-dtNOsivkqw?authuser=0&amp;hl=en&amp;rclk=1</t>
  </si>
  <si>
    <t>Quán chay Thiện Quang</t>
  </si>
  <si>
    <t>281 Đ. Trần Xuân Soạn</t>
  </si>
  <si>
    <t>https://lh3.googleusercontent.com/gps-cs-s/APNQkAH49sprRofSR_5I-PIC22jPtd-IEtje6-y_rodeHWWDMIF6AP0d0BPUhOgUiw67LK8S3GUs0qYVJ39F6o4Pw-bEAcqasXxfjyT89CdID62RBs6JzF0K7oEzV1DDHU7Ihx-3ftdF=w122-h92-k-no</t>
  </si>
  <si>
    <t>"I opted for a</t>
  </si>
  <si>
    <t>Bun thai chay for take away."</t>
  </si>
  <si>
    <t>https://www.google.com/maps/place/C%C6%A1m+chay+Li%C3%AAn+Hoa+2/data=!4m7!3m6!1s0x31752fedde94274f:0xf45641430d4694f!8m2!3d10.7516213!4d106.7081845!16s%2Fg%2F11x08kvs58!19sChIJTyeU3u0vdTERT2nUMBRkRQ8?authuser=0&amp;hl=en&amp;rclk=1</t>
  </si>
  <si>
    <t>Cơm chay Liên Hoa 2</t>
  </si>
  <si>
    <t>439 Đ. Trần Xuân Soạn</t>
  </si>
  <si>
    <t>https://lh3.googleusercontent.com/gps-cs-s/APNQkAFTREDn-WPi507QZM-h_6aT1LgE0A7YI82m_T-RmezdVjMmLVwyzrN7g3BL3Dy6h-qSsFxXyTzsMRsV7WFI4iE_k1H3KYZXwK0WqjHRYwX-AmM8Qur2GGm3o5_ZvQE_9nrjfKkJWxCR8iWB=w122-h92-k-no</t>
  </si>
  <si>
    <t>"Open aired and clean all</t>
  </si>
  <si>
    <t>Vietnamese</t>
  </si>
  <si>
    <t>https://www.google.com/maps/place/Qu%E1%BA%ADn+Chay+Ph%C6%B0oc+Tri/data=!4m7!3m6!1s0x31752f007c37d74d:0x27855865e57c53b2!8m2!3d10.7531154!4d106.6999528!16s%2Fg%2F11vy32hwn7!19sChIJTdc3fAAvdTERslN85WVYhSc?authuser=0&amp;hl=en&amp;rclk=1</t>
  </si>
  <si>
    <t>Quận Chay Phưoc Tri</t>
  </si>
  <si>
    <t>199 Tôn Thất Thuyết</t>
  </si>
  <si>
    <t>https://lh3.googleusercontent.com/gps-cs-s/APNQkAGCLBYGOlkbWPtXPl34HKfHsl-EbvI2bITp9dkuleow5HAUzU9dl-GEBMUUFLE1uiSI2_jwHgbPQsPdUqAKJKVVt-SspIzn0cSwa44pDNtFX3D939zn5iJyyF13ewyYXNVp9KBv=w122-h92-k-no</t>
  </si>
  <si>
    <t>"No space for motorbike parking but they seem to do quite a bit of takeaway."</t>
  </si>
  <si>
    <t>https://www.google.com/maps/place/Qu%C3%A1n+chay+T%C3%A2m+An/data=!4m7!3m6!1s0x31752f1b5248a7ed:0x2a22e770a5dd2ecc!8m2!3d10.7399271!4d106.7104926!16s%2Fg%2F11s4y3q9pl!19sChIJ7adIUhsvdTERzC7dpXDnIio?authuser=0&amp;hl=en&amp;rclk=1</t>
  </si>
  <si>
    <t>Quán chay Tâm An</t>
  </si>
  <si>
    <t>65 Đường số 79</t>
  </si>
  <si>
    <t>https://lh3.googleusercontent.com/gps-cs-s/APNQkAHxMyAgglTZTP-EoRSOMjBrpU-lnKcHYAr4eb4glMpU3LIaUqe8QCB4T_QzWCHjvFAmYVOhFqnLwmIVYUYJiuRC6bVXeiyiQGX-_VIwye5gCfUeVM3wfFEd21nP4a9Arb_EcIVXNA=w80-h106-k-no</t>
  </si>
  <si>
    <t>"Super kind owner and amazing</t>
  </si>
  <si>
    <t>https://www.google.com/maps/place/Ba%CC%81nh+Mi%CC%80+N%E1%BA%A5m+An+Nhi%C3%AAn+%28Vegan+food%29/data=!4m7!3m6!1s0x31752f19ccd2b9cb:0xebba8202e7daa362!8m2!3d10.754336!4d106.6832464!16s%2Fg%2F11l5pmn1h3!19sChIJy7nSzBkvdTERYqPa5wKCuus?authuser=0&amp;hl=en&amp;rclk=1</t>
  </si>
  <si>
    <t>Bánh Mì Nấm An Nhiên (Vegan food)</t>
  </si>
  <si>
    <t>179 Cao Đạt</t>
  </si>
  <si>
    <t>https://lh3.googleusercontent.com/gps-cs-s/APNQkAHiFGq_AiOhPHEEn8M7-TW4nLiVABmqJneKZvOZeiHq0YF6tiOofU7KaYTzB8bl2jhYzhLyoNc6OEUR-RqneYPaummBI18HjF5ezV6CkAqbXyycFUUlGlLFvs3qGt20-A3fd0tkQ6_8kvVH=w151-h92-k-no</t>
  </si>
  <si>
    <t>"Banh Mi boy serves awesome</t>
  </si>
  <si>
    <t>Bahn Mi!"</t>
  </si>
  <si>
    <t>https://www.google.com/maps/place/Nh%C3%A0+H%C3%A0ng+Sushi+Chay+TOJY/data=!4m7!3m6!1s0x31752f005e9f2a5f:0x727521e0d6107b87!8m2!3d10.7494948!4d106.7050264!16s%2Fg%2F11vx4fgthv!19sChIJXyqfXgAvdTERh3sQ1uAhdXI?authuser=0&amp;hl=en&amp;rclk=1</t>
  </si>
  <si>
    <t>Nhà Hàng Sushi Chay TOJY</t>
  </si>
  <si>
    <t>113 Lê Văn Lương</t>
  </si>
  <si>
    <t>https://lh3.googleusercontent.com/gps-cs-s/APNQkAFpD2yAPop0Ly4XtG2gh_iDvSvn09op2nEAUb2INhubGUhngoRSyAMW55ffzw_v_IcZ_TIuasSvqHkg1Ciy6h2engFhymcUISLcUcBZapvEbfxRU_RZQph2qZu410z9ktqUIccKTA=w122-h92-k-no</t>
  </si>
  <si>
    <t>"Everybody was very nice and the</t>
  </si>
  <si>
    <t>options are amazing."</t>
  </si>
  <si>
    <t>https://www.google.com/maps/place/Chay+Hu+Tiu-+Nui/data=!4m7!3m6!1s0x31752500281aa525:0xab328b5836ea0dbb!8m2!3d10.7380213!4d106.7304498!16s%2Fg%2F11m6gchbn7!19sChIJJaUaKAAldTERuw3qNliLMqs?authuser=0&amp;hl=en&amp;rclk=1</t>
  </si>
  <si>
    <t>Chay Hu Tiu- Nui</t>
  </si>
  <si>
    <t>453 Huỳnh Tấn Phát</t>
  </si>
  <si>
    <t>https://lh3.googleusercontent.com/gps-cs-s/APNQkAH7Knn7yJYZzU0cJsXBgnYKtmSMT0IPG3qFwwBTeF0586_63uo34xoj9CBGuXIY7-0wSiJevqLEGHdTR08hYjKId1JL1sNDXoZnrJaKZmJlzK8_DJDovaUuj3h6uXwNeKn7n9an=w80-h106-k-no</t>
  </si>
  <si>
    <t>"The mum came out and prepared me a</t>
  </si>
  <si>
    <t>Bun thai for take away."</t>
  </si>
  <si>
    <t>https://www.google.com/maps/place/The+Vegan+Garden+-+Nh%C3%A0+H%C3%A0ng+Chay+Qu%E1%BA%ADn+7/data=!4m7!3m6!1s0x31752fed34d4ddcf:0xe422b5198d38893b!8m2!3d10.7180448!4d106.7297147!16s%2Fg%2F11gvt72p1d!19sChIJz93UNO0vdTERO4k4jRm1IuQ?authuser=0&amp;hl=en&amp;rclk=1</t>
  </si>
  <si>
    <t>The Vegan Garden - Nhà Hàng Chay Quận 7</t>
  </si>
  <si>
    <t>· 8 AM</t>
  </si>
  <si>
    <t>https://lh3.googleusercontent.com/gps-cs-s/APNQkAGxPEI2Yjluorn8IvE5GAMMFAadlo9Fcq1hNuGYaboh9UPYgMvC2ixpNrQCsaQu3MpWSK1OCUoaHrkLjcgkTs1fv62DmhLUSTsOIYKJ0ls1RrX55YGKk48oJyGvyaBagZs9tIUgwHsB8jHM=w122-h92-k-no</t>
  </si>
  <si>
    <t>"I learned that it was</t>
  </si>
  <si>
    <t>and prepared in-house which was enough for me."</t>
  </si>
  <si>
    <t>Shop 3SB1-9 Số 2 Mỹ Viên Chung Cư Mỹ Viên P</t>
  </si>
  <si>
    <t>https://www.google.com/maps/place/Kashew+Cheese+Ph%C3%BA+M%E1%BB%B9+H%C6%B0ng/data=!4m7!3m6!1s0x317525b363cf29bb:0xd82702b9e55d2ff8!8m2!3d10.7208017!4d106.7272066!16s%2Fg%2F11txv99yl7!19sChIJuynPY7MldTER-C9d5bkCJ9g?authuser=0&amp;hl=en&amp;rclk=1</t>
  </si>
  <si>
    <t>Kashew Cheese Phú Mỹ Hưng</t>
  </si>
  <si>
    <t>The Ascentia, Khu Phố Mỹ Thái 2</t>
  </si>
  <si>
    <t>https://lh3.googleusercontent.com/gps-cs-s/APNQkAGzkgswRJRixqVeXAYbTKlyiRpJYuGwCNje2pr66QW9f5WicSwzmrGaXE_3cFWW6XORsSOfnnp8VPXm3r1Y4nUWHEXBexquYWIm2-63O3ZiKHsRLvzkJ0IylbFTvEYLFu7ROSkwvftEUhBK=w80-h99-k-no</t>
  </si>
  <si>
    <t>and wonderful environment."</t>
  </si>
  <si>
    <t>https://www.google.com/maps/place/Qu%C3%A1n+Chay+Li%C3%AAn+T%E1%BB%8Fa+-+Vegetarian/data=!4m7!3m6!1s0x31752f6591337af7:0x31fec20c0e25f8ee!8m2!3d10.7850596!4d106.700441!16s%2Fg%2F11w4fzfj0l!19sChIJ93ozkWUvdTER7vglDgzC_jE?authuser=0&amp;hl=en&amp;rclk=1</t>
  </si>
  <si>
    <t>Quán Chay Liên Tỏa - Vegetarian</t>
  </si>
  <si>
    <t>17C Nguyễn Thị Minh Khai</t>
  </si>
  <si>
    <t>https://lh3.googleusercontent.com/gps-cs-s/APNQkAHrwgmM0FaLKkfQ28RHANegSPwgWJuiiV8tHkD-yCaSuw-0y56X-1YdDedfonFlDySksBph8ASSYLfJPkamodHNUkJGmF-KWyLoz7mNgeU0pHSGYNOGFTgSFQ_Ih_d1ejx7NeXkYQ=w122-h92-k-no</t>
  </si>
  <si>
    <t>"A beautiful</t>
  </si>
  <si>
    <t>https://www.google.com/maps/place/C%C6%A1m+chay+Tr%C3%BAc+S%C6%A1n/data=!4m7!3m6!1s0x31752fd47345f86f:0x260fbfa5c85f60ab!8m2!3d10.7882261!4d106.6965514!16s%2Fg%2F11jz2htr2p!19sChIJb_hFc9QvdTERq2BfyKW_DyY?authuser=0&amp;hl=en&amp;rclk=1</t>
  </si>
  <si>
    <t>Cơm chay Trúc Sơn</t>
  </si>
  <si>
    <t>86/1 Mạc Đĩnh Chi</t>
  </si>
  <si>
    <t>https://lh3.googleusercontent.com/gps-cs-s/APNQkAFn8hK_ktsf2sHZLWyzOYEMa_wywIHjMRChsNYAUrHmNjq4qDLKJ7kXgDybSoiA6noGWxaK9o_yEUlJXUd3VcW3XfqZ-GpMro6vZyQ5hb9mgzx2hDzO993k_53i9ZUbl4UkqiCd=w122-h92-k-no</t>
  </si>
  <si>
    <t>https://www.google.com/maps/place/Tumaru.HCM/data=!4m7!3m6!1s0x31752fc4b7791925:0xf6933d880281a13c!8m2!3d10.7916298!4d106.6902393!16s%2Fg%2F11w3tbk1t_!19sChIJJRl5t8QvdTERPKGBAog9k_Y?authuser=0&amp;hl=en&amp;rclk=1</t>
  </si>
  <si>
    <t>Tumaru.HCM</t>
  </si>
  <si>
    <t>Sushi</t>
  </si>
  <si>
    <t>153A Trần Quang Khải</t>
  </si>
  <si>
    <t>https://lh3.googleusercontent.com/gps-cs-s/APNQkAFZnz2mwnxPWhsO-XqivnG1DYI3f04XbRtdopACLVLXOQuas9yBNCa-UitKKLq0Q5saCz4JnJ-GL8gnY0Pus4Y-iVEpT-hQED42A2pKs1PDwZPUwRiWC9u3W93lXwNxtzJAMCVuZfKX6uoW=w80-h106-k-no</t>
  </si>
  <si>
    <t>is nicely prepared with a good sense of presentation."</t>
  </si>
  <si>
    <t>https://www.google.com/maps/place/Nh%C3%A0+H%C3%A0ng+Thu%E1%BA%A7n+Chay+Gi%C3%A1c+Duy%C3%AAn/data=!4m7!3m6!1s0x3175291a195516b9:0x33af64f812639c05!8m2!3d10.7908538!4d106.6968248!16s%2Fg%2F11rpd9l40f!19sChIJuRZVGRopdTERBZxjEvhkrzM?authuser=0&amp;hl=en&amp;rclk=1</t>
  </si>
  <si>
    <t>Nhà Hàng Thuần Chay Giác Duyên</t>
  </si>
  <si>
    <t>133 Đinh Tiên Hoàng</t>
  </si>
  <si>
    <t>https://lh3.googleusercontent.com/gps-cs-s/APNQkAEBuAdRHNi8YjT7Lh65lPCx4IjuWTAYfddvaKQF_xjZKsD7Apsqw5h3ncvZubO1GgdkS6Kfju936j_AXaDe97wouYrXjMTSDo2mDl25EBnRXrMzUV7raI4PgIUZXhm_dLTS7dNOZYLFQuVC=w122-h92-k-no</t>
  </si>
  <si>
    <t>"wonderful how such scrumptious good can be made with just vegie"</t>
  </si>
  <si>
    <t>https://www.google.com/maps/place/M%C3%8A+RAU+Vegetarian+-+Buffet+L%E1%BA%A9u+Rau+N%E1%BA%A5m/data=!4m7!3m6!1s0x31752f0001fe0033:0x3a0e0448b5313e8a!8m2!3d10.7871204!4d106.6960532!16s%2Fg%2F11vz620fyq!19sChIJMwD-AQAvdTERij4xtUgEDjo?authuser=0&amp;hl=en&amp;rclk=1</t>
  </si>
  <si>
    <t>MÊ RAU Vegetarian - Buffet Lẩu Rau Nấm</t>
  </si>
  <si>
    <t>174 Nguyễn Văn Thủ</t>
  </si>
  <si>
    <t>https://lh3.googleusercontent.com/gps-cs-s/APNQkAHC-2DGKwwKqZ56B1yOoUCVqAR4YA1sj0nyYi3FONy3bFSiqA1B1ZVM3pGDr3V5vOT97HGB1HVOS4jSuEeQLkEPmIeMFjxmxvn1mmNFQIOIeA35GUzLPUcbCsqoxy3O2FeROEzpaUAItepp=w122-h92-k-no</t>
  </si>
  <si>
    <t>"It comes with tons of veggie, tofu, and broth selection."</t>
  </si>
  <si>
    <t>https://www.google.com/maps/place/Tib+-+Hue+Restaurant/data=!4m7!3m6!1s0x31752f34773a47e3:0x62842bc6c1157c15!8m2!3d10.7858338!4d106.6942744!16s%2Fg%2F1vpq4c2m!19sChIJ40c6dzQvdTERFXwVwcYrhGI?authuser=0&amp;hl=en&amp;rclk=1</t>
  </si>
  <si>
    <t>Tib - Hue Restaurant</t>
  </si>
  <si>
    <t>187 Ter Hai Bà Trưng</t>
  </si>
  <si>
    <t>https://lh3.googleusercontent.com/gps-cs-s/APNQkAGeOtRdYOpsq0GEFcaVVWfv1q7YOS0C7XEm46b3b8ofkxGag3zUoQzb37Bdszjrb4tWlJVT7Ct84yz3V1cBep1xeRpfelZB_xJdEd1z_iXCEfiaCYHBLVPH4I5SuFAgch6Kn3k=w163-h92-k-no</t>
  </si>
  <si>
    <t>"Amazing place in folk style, found a</t>
  </si>
  <si>
    <t>delicious menu, recommend"</t>
  </si>
  <si>
    <t>https://www.google.com/maps/place/Qu%C3%A1n+Chay+Th%C3%B4i+K%E1%BB%87+L%E1%BA%A1c+An/data=!4m7!3m6!1s0x3175290038671725:0x40e93a655ada71f7!8m2!3d10.7904632!4d106.6906548!16s%2Fg%2F11y408y4hw!19sChIJJRdnOAApdTER93HaWmU66UA?authuser=0&amp;hl=en&amp;rclk=1</t>
  </si>
  <si>
    <t>Quán Chay Thôi Kệ Lạc An</t>
  </si>
  <si>
    <t>72a Nguyễn Hữu Cầu</t>
  </si>
  <si>
    <t>· Closes 1 PM</t>
  </si>
  <si>
    <t>https://lh3.googleusercontent.com/gps-cs-s/APNQkAG4tPLku5RVir5kreKPL5DK4N8AlQTabACLWtxIlMaQAY50HycnbsGis22j0iZz5shgJb9KEoz0vtIwfHmhXiZ6kjblTdqqB7MPWRk86ZrHi1BcifOfFR_A92N53aev_LajOKD6-g=w147-h92-k-no</t>
  </si>
  <si>
    <t>https://www.google.com/maps/place/Qu%C3%A1n+M%C3%AC+Qu%E1%BA%A3ng+Ngon+Phan+Thi%E1%BA%BFt/data=!4m7!3m6!1s0x317528b57f128da3:0x21d56bb96d215aa7!8m2!3d10.7919119!4d106.7002651!16s%2Fg%2F1ptzvp0b2!19sChIJo40Sf7UodTERp1ohbblr1SE?authuser=0&amp;hl=en&amp;rclk=1</t>
  </si>
  <si>
    <t>Quán Mì Quảng Ngon Phan Thiết</t>
  </si>
  <si>
    <t>52 Nguyễn Bỉnh Khiêm</t>
  </si>
  <si>
    <t>https://lh3.googleusercontent.com/gps-cs-s/APNQkAGYzo8rSkxQqv47oEkoNwFu2URVh-PT5uqB5AbSq1yRDzOOl2QrPHagoae_QkSmL_Szs_sPI9_ZlL1N5pJISyu2zjbXyff1ZR2LlY9wuoHErUhAmsF8oqOQuqezgvbYqZz_0_e6lslZu3iQ=w80-h106-k-no</t>
  </si>
  <si>
    <t>"It was so good"</t>
  </si>
  <si>
    <t>https://www.google.com/maps/place/%EC%8C%80%EA%B5%AD%EC%88%98+%EB%A7%9B%EC%A7%91/data=!4m7!3m6!1s0x31752f0d13a68def:0xfc82b2ecea775cd8!8m2!3d10.7879877!4d106.7026631!16s%2Fg%2F11l719sh7d!19sChIJ742mEw0vdTER2Fx36uyygvw?authuser=0&amp;hl=en&amp;rclk=1</t>
  </si>
  <si>
    <t>쌀국수 맛집</t>
  </si>
  <si>
    <t>12 Nguyễn Thị Minh Khai</t>
  </si>
  <si>
    <t>https://streetviewpixels-pa.googleapis.com/v1/thumbnail?panoid=3yAJAkXA6T3hWOi8yK7ABg&amp;cb_client=search.gws-prod.gps&amp;w=80&amp;h=92&amp;yaw=322.82822&amp;pitch=0&amp;thumbfov=100</t>
  </si>
  <si>
    <t>https://www.google.com/maps/place/Ch%C3%A1o+Tr%E1%BA%AFng/data=!4m7!3m6!1s0x317528cc560be5c3:0xe8a8ae25bbd75ebe!8m2!3d10.7924606!4d106.6913927!16s%2Fg%2F11j00s3jp5!19sChIJw-ULVswodTERvl7XuyWuqOg?authuser=0&amp;hl=en&amp;rclk=1</t>
  </si>
  <si>
    <t>Cháo Trắng</t>
  </si>
  <si>
    <t>10 Trần Khắc Chân</t>
  </si>
  <si>
    <t>https://lh3.googleusercontent.com/gps-cs-s/APNQkAH5wcNKlHLjcrNB8O-c5GRiakUF6tmw5R8bYXp04XWtXN4Bg88os0XUAcZaZIwEUbVkTnAU2syXCeOBg49Ch2iY1hfq1RvfrJyLvL2bg0Ft0cauSZz6wiV6H7NGAaEa6adiF3gM=w163-h92-k-no</t>
  </si>
  <si>
    <t>"Good price, good porridge, salted eggs ..."</t>
  </si>
  <si>
    <t>https://www.google.com/maps/place/N%E1%BA%A5m+%C4%90%C3%A1+S%C3%A0i+G%C3%B2n+-+G%C3%B3c+Chay+Thu%E1%BA%A7n+Tu%C3%BD/data=!4m7!3m6!1s0x317529b1b03911af:0x5b8fe270db7a30a9!8m2!3d10.7910566!4d106.6937269!16s%2Fg%2F11l1c5syzl!19sChIJrxE5sLEpdTERqTB623Dij1s?authuser=0&amp;hl=en&amp;rclk=1</t>
  </si>
  <si>
    <t>Nấm Đá Sài Gòn - Góc Chay Thuần Tuý</t>
  </si>
  <si>
    <t>33/13 Lý Văn Phức</t>
  </si>
  <si>
    <t>https://lh3.googleusercontent.com/gps-cs-s/APNQkAEEaZOW8f2PEHUHJcjpBfTHlMy8wWE5I52QEUnQJq17-UITJTVYLNeZwQ92LykmRE34G4FDd0CRwhnNcSdCOe33f8pyGAj_eO9kqBXTMQ-KuA5uT4UND9AXC8g8gk9wR-ao7E0m=w138-h92-k-no</t>
  </si>
  <si>
    <t>https://www.google.com/maps/place/Chaystation/data=!4m7!3m6!1s0x317528e841a795c1:0xd648bb148a2df42e!8m2!3d10.7860907!4d106.6990476!16s%2Fg%2F11bwkptcnf!19sChIJwZWnQegodTERLvQtihS7SNY?authuser=0&amp;hl=en&amp;rclk=1</t>
  </si>
  <si>
    <t>Chaystation</t>
  </si>
  <si>
    <t>26/18B Đ. Lê Văn Duyệt</t>
  </si>
  <si>
    <t>https://lh3.googleusercontent.com/gps-cs-s/APNQkAHixIZ6HSfjXmEbaOI7vGibgVLDyhytLMI5uPSJg7xCx7ku1JwPdtXs026KtiB-MGZ40zn621v9XhX485OqF-LepCqouKDYDaL_qJl_Y0dHe5ZmRlmj1RRJo5TicKJkIlgzwpi_=w122-h92-k-no</t>
  </si>
  <si>
    <t>https://www.google.com/maps/place/Gotama+Buffet+Chay+%28Vegetarian+buffet+50k%29/data=!4m7!3m6!1s0x31752f682a188d09:0x22717d29bc8714e1!8m2!3d10.7876178!4d106.702848!16s%2Fg%2F11wr9wf3qd!19sChIJCY0YKmgvdTER4RSHvCl9cSI?authuser=0&amp;hl=en&amp;rclk=1</t>
  </si>
  <si>
    <t>Gotama Buffet Chay (Vegetarian buffet 50k)</t>
  </si>
  <si>
    <t>7A Nguyễn Thị Minh Khai</t>
  </si>
  <si>
    <t>https://lh3.googleusercontent.com/gps-cs-s/APNQkAE_rlmAZZerszR7uVRfOKtlTZpIXV0-7Jfk-VDVHhZCkGm9P0rRWNUb8Wf0Tseuhv-HfvRqabFXYPmcJqFAE6Y5kbSQQnDXPp5w7sezuz6U7J0yr7RiMIiK2wIp0oL3DNJDK2vZRw=w163-h92-k-no</t>
  </si>
  <si>
    <t>"Very fresh, delicious flavours &amp; a good variety of proteins &amp; veg &amp; soup!"</t>
  </si>
  <si>
    <t>https://www.google.com/maps/place/C%C3%B4+Th%E1%BA%A3o+Vegetarian+Restaurant/data=!4m7!3m6!1s0x31752f09caa62d41:0x88b3e7e94ee3307a!8m2!3d10.7849579!4d106.6989365!16s%2Fg%2F11tp6q55xm!19sChIJQS2mygkvdTERejDjTunns4g?authuser=0&amp;hl=en&amp;rclk=1</t>
  </si>
  <si>
    <t>Cô Thảo Vegetarian Restaurant</t>
  </si>
  <si>
    <t>37/3 Mạc Đĩnh Chi</t>
  </si>
  <si>
    <t>https://lh3.googleusercontent.com/gps-cs-s/APNQkAGfu3bc92fxlOgiT0pNlrHfTH_PjjkhKBxh1_Q2kW7Ii4I8A4RgspZS_VPAfBFz8LreX5yLESEg2ec4Az4NzU7mE_pDOEC7Z-_y-ZraHUEwl9Xn_HVD3ujwoGHx8I45w4uoFUtW9A=w87-h92-k-no</t>
  </si>
  <si>
    <t>https://www.google.com/maps/place/B%E1%BA%BFp+Chay+Di%E1%BB%87u+An/data=!4m7!3m6!1s0x317529d5b3db254f:0xb1e8052d7e559426!8m2!3d10.790244!4d106.7154314!16s%2Fg%2F11yfr0tm1s!19sChIJTyXbs9UpdTERJpRVfi0F6LE?authuser=0&amp;hl=en&amp;rclk=1</t>
  </si>
  <si>
    <t>Bếp Chay Diệu An</t>
  </si>
  <si>
    <t>142 Ngô Tất Tố</t>
  </si>
  <si>
    <t>https://lh3.googleusercontent.com/gps-cs-s/APNQkAFCDufbr6UjRWN1k25CnFgRz1yeeBLHl9bI9JEnPg2A5aLkiWD-h5H-N0Vnze0d0tSw4cAjVH0hvQOEywVl-uQoFAH_BRnG6swDk3cNoGaEvNhI8XiTy12jgNe0ID7k2dFvX2BlrR7fDZ1n=w204-h92-k-no</t>
  </si>
  <si>
    <t>https://www.google.com/maps/place/N%C6%AF%E1%BB%9AC+L%C3%88O+CHAY/data=!4m7!3m6!1s0x317529d071e6fc45:0xeca2ba2a38aad121!8m2!3d10.7943889!4d106.7162037!16s%2Fg%2F11h81jyn70!19sChIJRfzmcdApdTERIdGqOCq6ouw?authuser=0&amp;hl=en&amp;rclk=1</t>
  </si>
  <si>
    <t>NƯỚC LÈO CHAY</t>
  </si>
  <si>
    <t>Nguyễn Hữu Cảnh</t>
  </si>
  <si>
    <t>https://lh3.googleusercontent.com/gps-cs-s/APNQkAGjKsMteyxZf-xdYtfivwH1h5y1mnKyFML9p4NNsMplAGd0_B5Ew-dy92ha_MkAVlwyocTY3k5kv1aG4MnmuF1iutorcihYVoceb_LCooSAlEzVvKBQKynGGYMSjASeQ4iSRoVW=w122-h92-k-no</t>
  </si>
  <si>
    <t>"Delicious classic Vietnamese</t>
  </si>
  <si>
    <t>in its</t>
  </si>
  <si>
    <t>https://www.google.com/maps/place/Little+India/data=!4m7!3m6!1s0x3175298063499757:0xa3ccbfa8acb2c51b!8m2!3d10.7900161!4d106.712004!16s%2Fg%2F11l6t2f849!19sChIJV5dJY4ApdTERG8WyrKi_zKM?authuser=0&amp;hl=en&amp;rclk=1</t>
  </si>
  <si>
    <t>Little India</t>
  </si>
  <si>
    <t>92 Phạm Viết Chánh</t>
  </si>
  <si>
    <t>https://lh3.googleusercontent.com/gps-cs-s/APNQkAE-kxjQAYACBa_2fL0omzqnvfOY0jeDbUUdL7am_FyCavVq7TEUBTxfEtqNLFhaYiOL7-Bgx0AzKrnjL2Wu3pB5yQ9oFHaPmtgxUgLMrgtRYg1aV-z3cyhLEBnfFNqdRHThFjJ5gsx0OKc4=w80-h106-k-no</t>
  </si>
  <si>
    <t>"The owner is gentle but super friendly 😁 Many choices for vegetarians."</t>
  </si>
  <si>
    <t>https://www.google.com/maps/place/Qu%C3%A1n+Chay+Nh%C3%A0+Min+-+L%E1%BA%A9u+Chay+C%C6%A1m+Chay/data=!4m7!3m6!1s0x31752919fa06f69b:0x8086849763a3cdb7!8m2!3d10.7939259!4d106.7094174!16s%2Fg%2F11mzv9dpk5!19sChIJm_YG-hkpdTERt82jY5eEhoA?authuser=0&amp;hl=en&amp;rclk=1</t>
  </si>
  <si>
    <t>Quán Chay Nhà Min - Lẩu Chay Cơm Chay</t>
  </si>
  <si>
    <t>40 Nguyễn Văn Lạc</t>
  </si>
  <si>
    <t>https://lh3.googleusercontent.com/gps-cs-s/APNQkAHmqBaCciiSenVRidu8UwmuFS4PZ8j81sKtwLHZOEla4xoh-J7VQbr0xZlVO9XKbYVXhW9SgvcTtUBoy_zAzlIqc0wTLGGh-rx3JyDFUwimhNB8-Fvh9xIgmwOQL_K8qt2jhGN1HOZkpr9U=w80-h106-k-no</t>
  </si>
  <si>
    <t>, friendly service, great price."</t>
  </si>
  <si>
    <t>https://www.google.com/maps/place/C%C6%A1m+Chay+T%E1%BB%8Bnh+%C4%90%E1%BB%99/data=!4m7!3m6!1s0x317528ac4c4e0819:0xed23015ebb6b3fd3!8m2!3d10.7906319!4d106.7173571!16s%2Fg%2F11btxcp54w!19sChIJGQhOTKwodTER0z9ru14BI-0?authuser=0&amp;hl=en&amp;rclk=1</t>
  </si>
  <si>
    <t>Cơm Chay Tịnh Độ</t>
  </si>
  <si>
    <t>https://lh3.googleusercontent.com/gps-cs-s/APNQkAHYDtzCb6oLtL64927p0fuM8cEDGYM_v86RjuPBAPZitQ_c3X5b-kU1q4INIsGjhYroOT0DNSHtisvPrzwxragqcnpbY9dMCRo3phL3qZtDB6xc8fIxbxEhn76MMcUu73DoP3-Z=w122-h92-k-no</t>
  </si>
  <si>
    <t>"It's cheap and convenient for nearby vegetarians."</t>
  </si>
  <si>
    <t>https://www.google.com/maps/place/Quan+chay+Trung+Thanh/data=!4m7!3m6!1s0x317529000b3e1be1:0xdb90388cc38600db!8m2!3d10.7928043!4d106.7116873!16s%2Fg%2F11wqbm3wfy!19sChIJ4Rs-CwApdTER2wCGw4w4kNs?authuser=0&amp;hl=en&amp;rclk=1</t>
  </si>
  <si>
    <t>Quan chay Trung Thanh</t>
  </si>
  <si>
    <t>71 Ngô Tất Tố</t>
  </si>
  <si>
    <t>https://lh3.googleusercontent.com/gps-cs-s/APNQkAEoLUnLR50t5_TDa8FuZIzYJK3OASA0AERC0jDVXJZE-vWY-pDpNs6ULaw1hEGp_5piXBvAlXo2NaBtDqTxdE72GvJ7Sh3ra9qNfX-S1LgFiaB9uxBcgwsxUJq8-uztDeXbj3ae=w80-h106-k-no</t>
  </si>
  <si>
    <t>"Very good chay</t>
  </si>
  <si>
    <t>https://www.google.com/maps/place/H%E1%BB%A7+t%C3%ADu+m%C3%AC+chay+59/data=!4m7!3m6!1s0x3175290032e53097:0xb5dd442b9d0c29f0!8m2!3d10.7918298!4d106.709977!16s%2Fg%2F11wwhrznh_!19sChIJlzDlMgApdTER8CkMnStE3bU?authuser=0&amp;hl=en&amp;rclk=1</t>
  </si>
  <si>
    <t>Hủ tíu mì chay 59</t>
  </si>
  <si>
    <t>59 Nguyễn Công Trứ</t>
  </si>
  <si>
    <t>https://lh3.googleusercontent.com/gps-cs-s/APNQkAFbFHEJhcCDvRfRFWaAwKm1jEg3oYatYSap1bAp_yLtGZFbe42EdMysjcWHBL4xTW5Y0rsSJeeXW7HEp7Z2bJdOV_POKLCHRfRVFaa65WzkY-VEd-uOF1I9yPm04TLbtfRNDS2Htff99TFU=w122-h92-k-no</t>
  </si>
  <si>
    <t>"Traditional Vietnamese soups for cheap 25k - all</t>
  </si>
  <si>
    <t>https://www.google.com/maps/place/C%C6%A1m+chay+Thi%C3%AAn+Ph%C3%BAc/data=!4m7!3m6!1s0x3175299865b641b1:0x4b4e7e2b1d6cb3f1!8m2!3d10.7960973!4d106.7185351!16s%2Fg%2F11ft0t7_fv!19sChIJsUG2ZZgpdTER8bNsHSt-Tks?authuser=0&amp;hl=en&amp;rclk=1</t>
  </si>
  <si>
    <t>Cơm chay Thiên Phúc</t>
  </si>
  <si>
    <t>https://lh3.googleusercontent.com/gps-cs-s/APNQkAEmoxsS13S1EIhx11fOrpL6-ujWwDchCmBM7T8-1mPyZsveg4o3UZlcdWIv5iQC1ZVvfVGpq8p_jN2pqHq6uI01IGfmmpqF5_-4kAYk4_b7wfoxXpN_B2ytIAaTgIWymmT0TDF6VMUk5_c4=w80-h106-k-no</t>
  </si>
  <si>
    <t>"This place is</t>
  </si>
  <si>
    <t>friendly, cheap and so tasty!"</t>
  </si>
  <si>
    <t>https://www.google.com/maps/place/Qu%C3%A1n+Chay+%C4%90%E1%BB%A9c+T%C3%A2m/data=!4m7!3m6!1s0x31752931b6d8d815:0xd39646780ea7b120!8m2!3d10.7972109!4d106.7056765!16s%2Fg%2F11rzq085_x!19sChIJFdjYtjEpdTERILGnDnhGltM?authuser=0&amp;hl=en&amp;rclk=1</t>
  </si>
  <si>
    <t>Quán Chay Đức Tâm</t>
  </si>
  <si>
    <t>36 Điện Biên Phủ</t>
  </si>
  <si>
    <t>https://lh3.googleusercontent.com/gps-cs-s/APNQkAHRR2u8dnZ7E8sGb3K2rOapN5tp4dKx81woQB-PsvIN5BV1ZraV_6tRhCzVRZbvvy8tDgMqDdmWWQTeH_HBWo1RBttaS1G5F2uigfzoNn3A72SeW4YBCj4_EtWldjWDn6HkotDXQA=w122-h92-k-no</t>
  </si>
  <si>
    <t>https://www.google.com/maps/place/RuNam+Boutiqiue+-+Landmark+81/data=!4m7!3m6!1s0x317529de3a17b2d3:0x8fb6c3c42a8ad823!8m2!3d10.7951287!4d106.7210912!16s%2Fg%2F11fhz0h3ch!19sChIJ07IXOt4pdTERI9iKKsTDto8?authuser=0&amp;hl=en&amp;rclk=1</t>
  </si>
  <si>
    <t>RuNam Boutiqiue - Landmark 81</t>
  </si>
  <si>
    <t>720 Điện Biên Phủ</t>
  </si>
  <si>
    <t>https://lh3.googleusercontent.com/gps-cs-s/APNQkAG2mAaoM7KgHAotQeGdUrkaZfVPwhIcfC-d2r2nxmVtBFeBrxqUq9rvkZmI76JYhgbTbBRXq3wnD7SJ6C-Q2_Hi2mUpSOhtjumd67zYIcyEKfdijndybJGfRaByOxa5Tet9tudOtw=w163-h92-k-no</t>
  </si>
  <si>
    <t>"Highly recommended for a refined, memorable meal."</t>
  </si>
  <si>
    <t>https://www.google.com/maps/place/Healthy+Choice+-+Love.Peace.Vegan/data=!4m7!3m6!1s0x3175295eced7374f:0x5876940b742edc25!8m2!3d10.7895113!4d106.7081421!16s%2Fg%2F11rzd8pkp9!19sChIJTzfXzl4pdTERJdwudAuUdlg?authuser=0&amp;hl=en&amp;rclk=1</t>
  </si>
  <si>
    <t>Healthy Choice - Love.Peace.Vegan</t>
  </si>
  <si>
    <t>62/4 Nguyễn Ngọc Phương</t>
  </si>
  <si>
    <t>https://lh3.googleusercontent.com/gps-cs-s/APNQkAEgWLRYX6kfRc_DNqPNA8HRHdEqtzcgpCwxV3RPDLm0AFg6xufwNM0kX-ijrz0sFIi2SSgxTDAU3HOWn2wY4FCzsF_1maXy1UhF2-4hTNepStSMJY6bB1Q66vub0MfbnjEjLVGm=w80-h106-k-no</t>
  </si>
  <si>
    <t>Vegetarian food</t>
  </si>
  <si>
    <t>is varied and delicious."</t>
  </si>
  <si>
    <t>https://www.google.com/maps/place/Linh+Lan+Shop/data=!4m7!3m6!1s0x317529001e581e65:0x4b4c6d926529c4d9!8m2!3d10.7906632!4d106.7105803!16s%2Fg%2F11zjb5cd31!19sChIJZR5YHgApdTER2cQpZZJtTEs?authuser=0&amp;hl=en&amp;rclk=1</t>
  </si>
  <si>
    <t>Linh Lan Shop</t>
  </si>
  <si>
    <t>Chung Cư, Phạm Viết Chánh</t>
  </si>
  <si>
    <t>https://lh3.googleusercontent.com/gps-cs-s/APNQkAEK8zWO6q-jMk0x9g_igHYaaLh9CdwxH7mqP0uYLwreqykCzIhiqitbd7oDvkT2PN2XCvM4PJFoaJGqcdqjdUOkuFY3agUhkTGz5Gbr59xQLXN4NKKgaTqCrTSy4d470Vbdrk0Z1JEuuyU4=w92-h92-k-no</t>
  </si>
  <si>
    <t>Link</t>
  </si>
  <si>
    <t>Restaurant_name</t>
  </si>
  <si>
    <t>Review_score</t>
  </si>
  <si>
    <t>No_of_reviews</t>
  </si>
  <si>
    <t>Open_time</t>
  </si>
  <si>
    <t xml:space="preserve"> </t>
  </si>
  <si>
    <t>"Exceptional and atmosphere."</t>
  </si>
  <si>
    <t>"lovely meal , very friendly and great staff !"</t>
  </si>
  <si>
    <t>"Very good , kind service and nice atmosphere."</t>
  </si>
  <si>
    <t>"Gorgeous , lovely staff and the most delicious</t>
  </si>
  <si>
    <t>"Amazing , calming atmosphere"</t>
  </si>
  <si>
    <t>"All with</t>
  </si>
  <si>
    <t>"The Pad Thai was a flavor explosion, setting a high bar for cuisine."</t>
  </si>
  <si>
    <t>"Every dish was bursting with flavor, showcasing the best of cuisine."</t>
  </si>
  <si>
    <t>"Great in a calm stylish setting."</t>
  </si>
  <si>
    <t>"Friendly staff, SO MANY options and really cute vibes inside!"</t>
  </si>
  <si>
    <t>"Delicious , which is also tasty for people who usually like meat."</t>
  </si>
  <si>
    <t>"Really great , friendly staff and a calm atmosphere"</t>
  </si>
  <si>
    <t xml:space="preserve">"It’s both satisfying and guilt-free — a great balance of health and taste." </t>
  </si>
  <si>
    <t>"Refreshing and delicious dishes with friendly staff."</t>
  </si>
  <si>
    <t>"The Japanese dish I ordered was delicious!"</t>
  </si>
  <si>
    <t>"Truly excellent and</t>
  </si>
  <si>
    <t>"Delicious and great service"</t>
  </si>
  <si>
    <t>"Amazing ambience (sitting outside) and served delicious ."</t>
  </si>
  <si>
    <t>"I can’t say I’ve tasted better anywhere else, it’s delicious."</t>
  </si>
  <si>
    <t>"A beautiful tranquil setting with excellent and</t>
  </si>
  <si>
    <t>"Great place for breakfast, lunch etc open 24 hours"</t>
  </si>
  <si>
    <t>"Delicious in a clean and beautiful atmosphere."</t>
  </si>
  <si>
    <t>"Fresh and healthy , sitting very comfortable, reasonable prices"</t>
  </si>
  <si>
    <t>"Delicious and amazing service!"</t>
  </si>
  <si>
    <t>"Beautiful atmosphere for delicious ."</t>
  </si>
  <si>
    <t>"Very flavorful, fun, and creative dishes!"</t>
  </si>
  <si>
    <t>"The was great and delicious, and the staff were very friendly!"</t>
  </si>
  <si>
    <t>"Delicious , cute cozy space and nice staff."</t>
  </si>
  <si>
    <t>"Delicious in a calm and inviting atmosphere"</t>
  </si>
  <si>
    <t>"Delicious authentic with a friendly owner"</t>
  </si>
  <si>
    <t>"We are and left completely full and happy."</t>
  </si>
  <si>
    <t>"Really delicious noodle dish, friendly staff, reasonable prices."</t>
  </si>
  <si>
    <t>"Simple with just the right balance of healthy and fried."</t>
  </si>
  <si>
    <t>"Incredibly tasty Asian buffet at $8 per head!"</t>
  </si>
  <si>
    <t xml:space="preserve">"The taste was incredible—I could hardly believe it was plant-based!" </t>
  </si>
  <si>
    <t>"Great , a really cozy atmosphere, and very generous portions."</t>
  </si>
  <si>
    <t>"Great place on the water, cool view and tasty dishes"</t>
  </si>
  <si>
    <t>"The fish and beef were incredible too."</t>
  </si>
  <si>
    <t>"Delicious and for an unbeatable price!!"</t>
  </si>
  <si>
    <t>"Delicious with lots of different and interesting options."</t>
  </si>
  <si>
    <t>"Delicious , the loveliest service and a beautiful environment."</t>
  </si>
  <si>
    <t>"A pleasant hidden away on the back street."</t>
  </si>
  <si>
    <t>" was delicious and it had a really relaxing atmosphere."</t>
  </si>
  <si>
    <t>"Amazing tasty for a good price!"</t>
  </si>
  <si>
    <t xml:space="preserve">Dine-in </t>
  </si>
  <si>
    <t>"The whole fish is an amazing experience!"</t>
  </si>
  <si>
    <t>"I came for the , the burger was delicious."</t>
  </si>
  <si>
    <t>"Delicious, both and meat options, super friendly staff 🫶🏻"</t>
  </si>
  <si>
    <t>"Delicious , amazing drinks, and great atmosphere!"</t>
  </si>
  <si>
    <t>"The options were perfectly made, best mock beef I ve ever had."</t>
  </si>
  <si>
    <t>"The was delicious—fresh, flavorful, and beautifully presented."</t>
  </si>
  <si>
    <t>"Delicious nutritious , reasonable prices, enthusiastic staff"</t>
  </si>
  <si>
    <t xml:space="preserve">"Taste is good, wide variety and options are healthy." </t>
  </si>
  <si>
    <t>"My fav spot in An Phu, nurturing</t>
  </si>
  <si>
    <t>"Quiet, peaceful and interesting takes on Japanese</t>
  </si>
  <si>
    <t>"delicious , good space and service, worth the experience"</t>
  </si>
  <si>
    <t xml:space="preserve">"I can recommend bun hue chay" </t>
  </si>
  <si>
    <t>"We loved our meals, fabulous kombucha and very attentive staff."</t>
  </si>
  <si>
    <t>"Amazing a big variety of</t>
  </si>
  <si>
    <t>"Really delicious, healthy and affordable !"</t>
  </si>
  <si>
    <t>"They have a very large menu."</t>
  </si>
  <si>
    <t xml:space="preserve">"Healthy, rich, diverse, delicious and very cheap :)" </t>
  </si>
  <si>
    <t>"Service was fast, was delicious and all</t>
  </si>
  <si>
    <t>"Delicious in a beautiful garden-like setting."</t>
  </si>
  <si>
    <t>"Delicious and healthy with big enough sizes."</t>
  </si>
  <si>
    <t>"The aubergine tomato and cheese pasta is the best pasta I've ever had."</t>
  </si>
  <si>
    <t>Dine-in No-contact delivery</t>
  </si>
  <si>
    <t xml:space="preserve">"Very healthy yet super delicious, coming from high quality ingredients." </t>
  </si>
  <si>
    <t>"100% , unique dishes, super fast service, great prices."</t>
  </si>
  <si>
    <t>"I recently dined at this (2 times) and was impressed."</t>
  </si>
  <si>
    <t xml:space="preserve">"soooo yummy and healthy, great service, and atmosphere." </t>
  </si>
  <si>
    <t>"Honestly the best Döner and Wrap that we ever had."</t>
  </si>
  <si>
    <t>"Delicious with a very zen and relaxing garden to dine in!"</t>
  </si>
  <si>
    <t>"Cute interior, good quality cakes, friendly staff, small menu"</t>
  </si>
  <si>
    <t>"Actual excellence in , service, decor."</t>
  </si>
  <si>
    <t xml:space="preserve">"Accommodating, exceptional attention to detail and great healthy variety." </t>
  </si>
  <si>
    <t>"Exept the Curry, everything Else is actually ."</t>
  </si>
  <si>
    <t>"Beautiful, serene little slice of heaven."</t>
  </si>
  <si>
    <t xml:space="preserve">"The menu has a great variety of options, including plenty for vegetarians." </t>
  </si>
  <si>
    <t>"The is good, and they have so many</t>
  </si>
  <si>
    <t>"Very good , eco friendly packaging, generous portions and good price."</t>
  </si>
  <si>
    <t xml:space="preserve">"The portion for each dish is huge, needs at least 2 people to finish." </t>
  </si>
  <si>
    <t>"Delicious , top-notch service, 👍🏻and outstanding ambiance."</t>
  </si>
  <si>
    <t>"Southern is great... a large space."</t>
  </si>
  <si>
    <t>"Delicious for a great price."</t>
  </si>
  <si>
    <t>"Delicious comfort</t>
  </si>
  <si>
    <t>"We ordered everything here and the</t>
  </si>
  <si>
    <t>"Very nice healthy ,well done well prepared and huge portion."</t>
  </si>
  <si>
    <t>"We had a nice Vietnamese breakfast here, braised tofu, hu tori, yummm"</t>
  </si>
  <si>
    <t>"The very delicious and nice service."</t>
  </si>
  <si>
    <t>"Fantastic in Saigon, really nice staff and great service."</t>
  </si>
  <si>
    <t>"Best place for who eat , quiet, comfort and clean place."</t>
  </si>
  <si>
    <t>"It's my first experience and it's so delicious and healthy!"</t>
  </si>
  <si>
    <t xml:space="preserve">"The portions are generous, yet the plating is neat and thoughtful." </t>
  </si>
  <si>
    <t xml:space="preserve">"My meal tasted healthy, nutritious, and delicious!" </t>
  </si>
  <si>
    <t>"Delicious in a relaxing place."</t>
  </si>
  <si>
    <t>"We enjoyed a super tasty hotpot for 210k VND ($8) for 3 people."</t>
  </si>
  <si>
    <t>"Incredible friggin !"</t>
  </si>
  <si>
    <t>"Everybody was very nice and the options are amazing."</t>
  </si>
  <si>
    <t>"I learned that it was and prepared in-house which was enough for me."</t>
  </si>
  <si>
    <t>"Delicious and wonderful environment."</t>
  </si>
  <si>
    <t>"A beautiful with</t>
  </si>
  <si>
    <t xml:space="preserve">"It comes with tons of veggie, tofu, and broth selection." </t>
  </si>
  <si>
    <t>"Amazing place in folk style, found a delicious menu, recommend"</t>
  </si>
  <si>
    <t xml:space="preserve">"Very fresh, delicious flavours &amp; a good variety of proteins &amp; veg &amp; soup!" </t>
  </si>
  <si>
    <t>" is varied and delicious."</t>
  </si>
  <si>
    <t>Latitude</t>
  </si>
  <si>
    <t>Longitude</t>
  </si>
  <si>
    <t>District_auto</t>
  </si>
  <si>
    <t>District 1</t>
  </si>
  <si>
    <t>Binh Thanh</t>
  </si>
  <si>
    <t>District 3</t>
  </si>
  <si>
    <t>Other / Review</t>
  </si>
  <si>
    <t>District 2 / Thu Duc City</t>
  </si>
  <si>
    <t>District 7</t>
  </si>
  <si>
    <t>Price_range</t>
  </si>
  <si>
    <t>District_confidence</t>
  </si>
  <si>
    <t>District_method</t>
  </si>
  <si>
    <t>In_selected_scope</t>
  </si>
  <si>
    <t>High</t>
  </si>
  <si>
    <t>Address keyword: District 1 central/Tan Dinh streets</t>
  </si>
  <si>
    <t>Yes</t>
  </si>
  <si>
    <t>Address keyword: Binh Thanh streets/landmarks</t>
  </si>
  <si>
    <t>Address keyword: District 3 streets</t>
  </si>
  <si>
    <t>Medium</t>
  </si>
  <si>
    <t>Coordinate fallback: central west cluster</t>
  </si>
  <si>
    <t>Coordinate rule: Binh Thanh cluster</t>
  </si>
  <si>
    <t>Coordinate fallback: central east cluster</t>
  </si>
  <si>
    <t>Low</t>
  </si>
  <si>
    <t>Address keyword outside selected district</t>
  </si>
  <si>
    <t>Review</t>
  </si>
  <si>
    <t>Outside selected district rules / needs validation</t>
  </si>
  <si>
    <t>Address keyword + east coordinate</t>
  </si>
  <si>
    <t>Coordinate rule: east of Saigon River</t>
  </si>
  <si>
    <t>Coordinate rule: south HCMC cluster</t>
  </si>
  <si>
    <t>Address keyword + south coordinate</t>
  </si>
  <si>
    <t>District classification.Latitude</t>
  </si>
  <si>
    <t>District classification.Longitude</t>
  </si>
  <si>
    <t>Address</t>
  </si>
  <si>
    <t>Price_bucket</t>
  </si>
  <si>
    <t>Time_bucket</t>
  </si>
  <si>
    <t>Morning</t>
  </si>
  <si>
    <t>Premium</t>
  </si>
  <si>
    <t>No data</t>
  </si>
  <si>
    <t>Lunch</t>
  </si>
  <si>
    <t>Night</t>
  </si>
  <si>
    <t>Afternoon</t>
  </si>
  <si>
    <t>19 Đ. Trần Ngọc Diện, Thảo Điền, Quận 2, 19 Trần Ngọc Diện</t>
  </si>
  <si>
    <t>Row Labels</t>
  </si>
  <si>
    <t>Grand Total</t>
  </si>
  <si>
    <t>Count of Restaurant_name</t>
  </si>
  <si>
    <t>Mean</t>
  </si>
  <si>
    <t>No of restaurant</t>
  </si>
  <si>
    <t>Sum of No_of_reviews</t>
  </si>
  <si>
    <t>Review per restaurant</t>
  </si>
  <si>
    <t>Popular price range</t>
  </si>
  <si>
    <t>No of review per restaurant</t>
  </si>
  <si>
    <t>Rating vs Number of Reviews</t>
  </si>
  <si>
    <t>Column Labels</t>
  </si>
  <si>
    <t>Avg review score</t>
  </si>
  <si>
    <t>Weighted rating</t>
  </si>
  <si>
    <t>Rank</t>
  </si>
  <si>
    <t>(Multiple Items)</t>
  </si>
  <si>
    <t>No of review of Top 3 restaurant</t>
  </si>
  <si>
    <t>Modern vegan / plant-based</t>
  </si>
  <si>
    <t>English / international-facing</t>
  </si>
  <si>
    <t>No</t>
  </si>
  <si>
    <t>Vegetarian bistro / casual dining</t>
  </si>
  <si>
    <t>Local-facing</t>
  </si>
  <si>
    <t>Other</t>
  </si>
  <si>
    <t>Vegetarian, Indian</t>
  </si>
  <si>
    <t>Buffet / hotpot vegetarian</t>
  </si>
  <si>
    <t>Chay/Vietnamese vegetarian, Buffet</t>
  </si>
  <si>
    <t>Local Vietnamese vegetarian</t>
  </si>
  <si>
    <t>Chay/Vietnamese vegetarian</t>
  </si>
  <si>
    <t>Quick-service / noodle / banh mi vegetarian</t>
  </si>
  <si>
    <t>Vegan, Banh mi</t>
  </si>
  <si>
    <t>Vegetarian cafe / light dining</t>
  </si>
  <si>
    <t>Vegan, Cafe</t>
  </si>
  <si>
    <t>Plant-based, Cafe</t>
  </si>
  <si>
    <t>Vegetarian, Cafe</t>
  </si>
  <si>
    <t>Vegetarian bistro</t>
  </si>
  <si>
    <t>Plant-based</t>
  </si>
  <si>
    <t>Vegan, Coffee, Banh mi</t>
  </si>
  <si>
    <t>Mixed local + English-facing</t>
  </si>
  <si>
    <t>Vegan, Chay/Vietnamese vegetarian, Cafe</t>
  </si>
  <si>
    <t>Vegetarian, Buffet, Hotpot</t>
  </si>
  <si>
    <t>Vegan, Vegetarian</t>
  </si>
  <si>
    <t>Vegetarian, Chay/Vietnamese vegetarian</t>
  </si>
  <si>
    <t>Vegan, Chay/Vietnamese vegetarian</t>
  </si>
  <si>
    <t>Chay/Vietnamese vegetarian, Hotpot</t>
  </si>
  <si>
    <t>Chay/Vietnamese vegetarian, Buffet, Hotpot</t>
  </si>
  <si>
    <t>Vegetarian, Chay/Vietnamese vegetarian, Buffet</t>
  </si>
  <si>
    <t>Quick-service</t>
  </si>
  <si>
    <t>International</t>
  </si>
  <si>
    <t>Vegetarian, Coffee</t>
  </si>
  <si>
    <t>Coffee</t>
  </si>
  <si>
    <t>Chay/Vietnamese vegetarian, Cafe</t>
  </si>
  <si>
    <t>Vegetarian, Chay/Vietnamese vegetarian, Coffee</t>
  </si>
  <si>
    <t>Cafe</t>
  </si>
  <si>
    <t>Chay/Vietnamese vegetarian, Pho/noodle</t>
  </si>
  <si>
    <t>Vegetarian cafe</t>
  </si>
  <si>
    <t>Vegan, Pho/noodle</t>
  </si>
  <si>
    <t>Vegetarian, Chay/Vietnamese vegetarian, Tea house</t>
  </si>
  <si>
    <t>Poke</t>
  </si>
  <si>
    <t>Modern vegan</t>
  </si>
  <si>
    <t>Vegetarian, Cafe, Ramen</t>
  </si>
  <si>
    <t>Chay/Vietnamese vegetarian, Sushi</t>
  </si>
  <si>
    <t>Vegan, Cafe, Tea house</t>
  </si>
  <si>
    <t>Restaurant Name</t>
  </si>
  <si>
    <t>District</t>
  </si>
  <si>
    <t>Rating</t>
  </si>
  <si>
    <t>Reviews</t>
  </si>
  <si>
    <t>Price Bucket</t>
  </si>
  <si>
    <t>Time Bucket</t>
  </si>
  <si>
    <t>Style Classification</t>
  </si>
  <si>
    <t>Local vs English Orientation</t>
  </si>
  <si>
    <t>Cafe / Coffee / Tea?</t>
  </si>
  <si>
    <t>Concept Signal</t>
  </si>
  <si>
    <t>Suggested Target Segment</t>
  </si>
  <si>
    <t>Source Link</t>
  </si>
  <si>
    <t>Tourists + international diners</t>
  </si>
  <si>
    <t>Local vegetarian customers + mixed diners</t>
  </si>
  <si>
    <t>International diners</t>
  </si>
  <si>
    <t>Cafe visitors, brunch, casual meetups</t>
  </si>
  <si>
    <t>Local daily meals + value seekers</t>
  </si>
  <si>
    <t>Expats + health-conscious residents</t>
  </si>
  <si>
    <t>Foreign families + residents</t>
  </si>
  <si>
    <t>Local_vs_English</t>
  </si>
  <si>
    <t>Cafe_options</t>
  </si>
  <si>
    <t>Restaurant quantity by café options</t>
  </si>
  <si>
    <t>Restaurant quantity breakdown by café options &amp; district</t>
  </si>
  <si>
    <t>Price range distribution by Café options</t>
  </si>
  <si>
    <t>Ward</t>
  </si>
  <si>
    <t>Bến Thành</t>
  </si>
  <si>
    <t>Phạm Ngũ Lão</t>
  </si>
  <si>
    <t>Tân Định</t>
  </si>
  <si>
    <t>Nguyễn Thái Bình</t>
  </si>
  <si>
    <t>Bến Nghé</t>
  </si>
  <si>
    <t>Đa Kao</t>
  </si>
  <si>
    <t>Cô Giang</t>
  </si>
  <si>
    <t>Cầu Ông Lãnh</t>
  </si>
  <si>
    <t>Thảo Điền</t>
  </si>
  <si>
    <t>Ward 19</t>
  </si>
  <si>
    <t>Ward 17</t>
  </si>
  <si>
    <t>Ward 22</t>
  </si>
  <si>
    <t>Võ Thị Sáu</t>
  </si>
  <si>
    <t>Ward 14</t>
  </si>
  <si>
    <t>An Phú</t>
  </si>
  <si>
    <t>Tân Phong</t>
  </si>
  <si>
    <t>Tân Phú</t>
  </si>
  <si>
    <t>Tân Hưng</t>
  </si>
  <si>
    <t>Tân Quy</t>
  </si>
  <si>
    <t>Ward_auto</t>
  </si>
  <si>
    <t>District_Ward</t>
  </si>
  <si>
    <t>Ward_confidence</t>
  </si>
  <si>
    <t>Ward_method</t>
  </si>
  <si>
    <t>District 1, Ward Bến Nghé</t>
  </si>
  <si>
    <t>Coordinate heuristic by District_auto</t>
  </si>
  <si>
    <t>District 1, Ward Đa Kao</t>
  </si>
  <si>
    <t>Name/address clue: Nguyễn Thị Minh Khai, District 1</t>
  </si>
  <si>
    <t>District 1, Ward Nguyễn Thái Bình</t>
  </si>
  <si>
    <t>District 1, Ward Bến Thành</t>
  </si>
  <si>
    <t>District 1, Ward Tân Định</t>
  </si>
  <si>
    <t>Name/address clue: Bến Thành</t>
  </si>
  <si>
    <t>Binh Thanh, Ward 19</t>
  </si>
  <si>
    <t>District 3, Ward Võ Thị Sáu</t>
  </si>
  <si>
    <t>Name/address clue: Võ Văn Tần, District 3</t>
  </si>
  <si>
    <t>District 1, Ward Phạm Ngũ Lão</t>
  </si>
  <si>
    <t>Name/address clue: Đa Kao</t>
  </si>
  <si>
    <t>Binh Thanh, Ward 17</t>
  </si>
  <si>
    <t>Name/address clue: Trương Định / District 3 area</t>
  </si>
  <si>
    <t>District 3, Ward 14</t>
  </si>
  <si>
    <t>District 2 / Thu Duc City, Ward Thảo Điền</t>
  </si>
  <si>
    <t>Name/address clue: Pasteur / District 1 area</t>
  </si>
  <si>
    <t>District 2 / Thu Duc City, Ward An Phú</t>
  </si>
  <si>
    <t>Name/address clue: Thảo Điền</t>
  </si>
  <si>
    <t>Binh Thanh, Ward 22</t>
  </si>
  <si>
    <t>An Khánh</t>
  </si>
  <si>
    <t>District 2 / Thu Duc City, Ward An Khánh</t>
  </si>
  <si>
    <t>District 1, Ward Cầu Ông Lãnh</t>
  </si>
  <si>
    <t>District 1, Ward Cô Giang</t>
  </si>
  <si>
    <t>District 7, Ward Tân Phú</t>
  </si>
  <si>
    <t>District 7, Ward Tân Phong</t>
  </si>
  <si>
    <t>Name/address clue: Phạm Thái Bường / Phú Mỹ Hưng</t>
  </si>
  <si>
    <t>Bình Thuận</t>
  </si>
  <si>
    <t>District 7, Ward Bình Thuận</t>
  </si>
  <si>
    <t>Name/address clue: Nguyễn Bính, District 7</t>
  </si>
  <si>
    <t>District 7, Ward Tân Quy</t>
  </si>
  <si>
    <t>Name/address clue: Lê Văn Lương, District 7</t>
  </si>
  <si>
    <t>District 7, Ward Tân Hưng</t>
  </si>
  <si>
    <t>Phú Mỹ</t>
  </si>
  <si>
    <t>District 7, Ward Phú Mỹ</t>
  </si>
  <si>
    <t>Landmark 81 area</t>
  </si>
  <si>
    <t>Binh Thanh Total</t>
  </si>
  <si>
    <t>District 1 Total</t>
  </si>
  <si>
    <t>District 3 Total</t>
  </si>
  <si>
    <t>District 7 Total</t>
  </si>
  <si>
    <t>No of restaurant by district</t>
  </si>
  <si>
    <t>No of review by district</t>
  </si>
  <si>
    <t>District 2</t>
  </si>
  <si>
    <t>District 2 Total</t>
  </si>
  <si>
    <t>Key characteristics</t>
  </si>
  <si>
    <t>Suitable foreigner type</t>
  </si>
  <si>
    <t>Stay term</t>
  </si>
  <si>
    <t>Quiet, planned, green, wide roads, malls, parks, international schools, Korean community</t>
  </si>
  <si>
    <t>Families, Korean expats, long-term professionals</t>
  </si>
  <si>
    <t>Long-term</t>
  </si>
  <si>
    <t>Expat enclave, many serviced apartments, villas, cafes, restaurants, gyms, nightlife, international school</t>
  </si>
  <si>
    <t>Western expats, teachers, young professionals, expat families</t>
  </si>
  <si>
    <t>Short–long term</t>
  </si>
  <si>
    <t>Close to District 1, many condos, cafes, local food, Vinhomes/Landmark 81 area is more premium</t>
  </si>
  <si>
    <t>Young professionals, teachers, people wanting city access but lower cost</t>
  </si>
  <si>
    <t>Medium–long term</t>
  </si>
  <si>
    <t>CBD, tourist center, financial/corporate offices, walkable but expensive and crowded</t>
  </si>
  <si>
    <t>Business travelers, short-stay expats, people working in CBD</t>
  </si>
  <si>
    <t>Short–medium term</t>
  </si>
  <si>
    <t>Near District 1 but calmer, cheaper, tree-lined streets, cafes, gyms, local lifestyle</t>
  </si>
  <si>
    <t>Expats who want central location without District 1 chaos</t>
  </si>
  <si>
    <t>Average review per restaurant:</t>
  </si>
  <si>
    <t>Popular price range by district</t>
  </si>
  <si>
    <t>https://www.google.com/maps/place/Ben+Nghe+Street+Food/data=!4m7!3m6!1s0x31752f38d6d12d4b:0x9a6eb30ab7589d13!8m2!3d10.7773167!4d106.6977562!16s%2Fg%2F11bxgb8ltc!19sChIJSy3R1jgvdTERE51Ytwqzbpo?authuser=0&amp;hl=en&amp;rclk=1</t>
  </si>
  <si>
    <t>Ben Nghe Street Food</t>
  </si>
  <si>
    <t>"Great location,  large selection of types, both</t>
  </si>
  <si>
    <t>134 Nam Kỳ Khởi Nghĩa</t>
  </si>
  <si>
    <t>https://www.google.com/maps/place/Ramen+IPPUDO+Le+Thanh+Ton/data=!4m7!3m6!1s0x31752f13459bd0cd:0xee2fff49b379db95!8m2!3d10.7801253!4d106.7044579!16s%2Fg%2F11fmsd199g!19sChIJzdCbRRMvdTERldt5s0n_L-4?authuser=0&amp;hl=en&amp;rclk=1</t>
  </si>
  <si>
    <t>Ramen IPPUDO Le Thanh Ton</t>
  </si>
  <si>
    <t>17/5 Lê Thánh Tôn</t>
  </si>
  <si>
    <t>https://www.google.com/maps/place/Propaganda+Vietnamese+Bistro/data=!4m7!3m6!1s0x31752f378dabe5db:0x635cd76f30bd0737!8m2!3d10.7787806!4d106.6981583!16s%2Fg%2F1pyqmjd_t!19sChIJ2-WrjTcvdTERNwe9MG_XXGM?authuser=0&amp;hl=en&amp;rclk=1</t>
  </si>
  <si>
    <t>Propaganda Vietnamese Bistro</t>
  </si>
  <si>
    <t>"Very tasty options and a cute space."</t>
  </si>
  <si>
    <t>21 Đ. Hàn Thuyên</t>
  </si>
  <si>
    <t>https://www.google.com/maps/place/Soumaki+-+Your+Healthy+Food+Soulmate+-+L%C3%BD+T%E1%BB%B1+Tr%E1%BB%8Dng/data=!4m7!3m6!1s0x31752fd9351b8d79:0xcee998c37f0eb018!8m2!3d10.7771971!4d106.700107!16s%2Fg%2F11s3vl41pc!19sChIJeY0bNdkvdTERGLAOf8OY6c4?authuser=0&amp;hl=en&amp;rclk=1</t>
  </si>
  <si>
    <t>Soumaki - Your Healthy Food Soulmate - Lý Tự Trọng</t>
  </si>
  <si>
    <t>"The was so tasty and healthy and it filled me up!"</t>
  </si>
  <si>
    <t>42 Lý Tự Trọng</t>
  </si>
  <si>
    <t>https://www.google.com/maps/place/Heart+of+Darkness+Craft+Brewery/data=!4m7!3m6!1s0x31752f48f43430cd:0x51c14d0271469c87!8m2!3d10.7798149!4d106.7029294!16s%2Fg%2F11crxw6gy6!19sChIJzTA09EgvdTERh5xGcQJNwVE?authuser=0&amp;hl=en&amp;rclk=1</t>
  </si>
  <si>
    <t>Heart of Darkness Craft Brewery</t>
  </si>
  <si>
    <t>"Meat-eaters, vegetarians and can all find PLENTY to eat."</t>
  </si>
  <si>
    <t>31D Lý Tự Trọng</t>
  </si>
  <si>
    <t>https://www.google.com/maps/place/Dahi+Handi+Indian+Restaurant/data=!4m7!3m6!1s0x31752f7a7d473e5d:0x1835902d3fa5e1ca!8m2!3d10.7761731!4d106.7048075!16s%2Fg%2F11gl12kgyd!19sChIJXT5HfXovdTERyuGlPy2QNRg?authuser=0&amp;hl=en&amp;rclk=1</t>
  </si>
  <si>
    <t>Dahi Handi Indian Restaurant</t>
  </si>
  <si>
    <t>"Finger licking good and service with a smile by Johnny."</t>
  </si>
  <si>
    <t>23 Đông Du</t>
  </si>
  <si>
    <t>https://www.google.com/maps/place/My+Banh+Mi/data=!4m7!3m6!1s0x31752f481a3d8727:0xf40b76660ec7ebf!8m2!3d10.7791987!4d106.7005186!16s%2Fg%2F11btwr4dq9!19sChIJJ4c9GkgvdTERv37sYGa3QA8?authuser=0&amp;hl=en&amp;rclk=1</t>
  </si>
  <si>
    <t>My Banh Mi</t>
  </si>
  <si>
    <t>"Excellent with</t>
  </si>
  <si>
    <t>57 Nguyễn Du</t>
  </si>
  <si>
    <t>https://www.google.com/maps/place/Poke+Saigon+Ly+Tu+Trong/data=!4m7!3m6!1s0x31752f47f450b265:0xa46f765f0dea01e8!8m2!3d10.7771626!4d106.7001507!16s%2Fg%2F11g020cwyh!19sChIJZbJQ9EcvdTER6AHqDV92b6Q?authuser=0&amp;hl=en&amp;rclk=1</t>
  </si>
  <si>
    <t>Poke Saigon Ly Tu Trong</t>
  </si>
  <si>
    <t>"Amazing fresh, tasty, nutritious served with a warm welcoming smile."</t>
  </si>
  <si>
    <t>First floor, 42 Bis Lý Tự Trọng</t>
  </si>
  <si>
    <t>https://www.google.com/maps/place/Hoa+T%C3%BAc+Saigon/data=!4m7!3m6!1s0x31752f4627907e63:0x228869e80686c24a!8m2!3d10.7785004!4d106.7037745!16s%2Fg%2F11g8bqp8hn!19sChIJY36QJ0YvdTERSsKGBuhpiCI?authuser=0&amp;hl=en&amp;rclk=1</t>
  </si>
  <si>
    <t>Hoa Túc Saigon</t>
  </si>
  <si>
    <t>"Delicious and the understood what a gluten allergy is."</t>
  </si>
  <si>
    <t>74/7 Hai Bà Trưng</t>
  </si>
  <si>
    <t>https://www.google.com/maps/place/G%C3%A1nh+-+Truly+Vietnamese+Cuisine/data=!4m7!3m6!1s0x31752f4934863955:0xe45e41df1006ad7a!8m2!3d10.77714!4d106.704236!16s%2Fg%2F11bxkpfpjs!19sChIJVTmGNEkvdTEReq0GEN9BXuQ?authuser=0&amp;hl=en&amp;rclk=1</t>
  </si>
  <si>
    <t>Gánh - Truly Vietnamese Cuisine</t>
  </si>
  <si>
    <t>"Amazing healthy , great music and ambience"</t>
  </si>
  <si>
    <t>91 Hai Bà Trưng</t>
  </si>
  <si>
    <t>https://www.google.com/maps/place/Au+Parc+Caf%C3%A9/data=!4m7!3m6!1s0x31752f378c9f5bf3:0x7e1388eb0419e27a!8m2!3d10.7787276!4d106.6980638!16s%2Fg%2F1hc2zh7r9!19sChIJ81ufjDcvdTEReuIZBOuIE34?authuser=0&amp;hl=en&amp;rclk=1</t>
  </si>
  <si>
    <t>Au Parc Café</t>
  </si>
  <si>
    <t>"Very good - clean, healthy and fast for a full fresh meal."</t>
  </si>
  <si>
    <t>23 Đ. Hàn Thuyên</t>
  </si>
  <si>
    <t>https://www.google.com/maps/place/Curry-licious+Indian+Restaurant/data=!4m7!3m6!1s0x31752ff05dc82141:0x8bf6105890ee8927!8m2!3d10.7771121!4d106.7039749!16s%2Fg%2F11x90vs602!19sChIJQSHIXfAvdTERJ4nukFgQ9os?authuser=0&amp;hl=en&amp;rclk=1</t>
  </si>
  <si>
    <t>Curry-licious Indian Restaurant</t>
  </si>
  <si>
    <t xml:space="preserve">"We tried vegetarians options and all was awesome." </t>
  </si>
  <si>
    <t>9 Công trường Lam Sơn</t>
  </si>
  <si>
    <t>https://www.google.com/maps/place/Be+An+Vegetarian+Bistro/data=!4m7!3m6!1s0x31752fc59340bdeb:0xdf3513c4d4fb4ba!8m2!3d10.784419!4d106.697799!16s%2Fg%2F11kjf2bthm!19sChIJ671Ak8UvdTERurRPTTxR8w0?authuser=0&amp;hl=en&amp;rclk=1</t>
  </si>
  <si>
    <t>Dine-in Delivery</t>
  </si>
  <si>
    <t>https://www.google.com/maps/place/Le+Corto/data=!4m7!3m6!1s0x31752f46183b600f:0x2d05f35baaca375b!8m2!3d10.7778086!4d106.7046515!16s%2Fg%2F11cms299_3!19sChIJD2A7GEYvdTERWzfKqlvzBS0?authuser=0&amp;hl=en&amp;rclk=1</t>
  </si>
  <si>
    <t>Le Corto</t>
  </si>
  <si>
    <t>₫1,000,000+</t>
  </si>
  <si>
    <t>"Creative presentation, delicious ."</t>
  </si>
  <si>
    <t>5D Nguyễn Siêu</t>
  </si>
  <si>
    <t>https://www.google.com/maps/place/S%C3%A0i+G%C3%B2n+Kitchen+Vina/data=!4m7!3m6!1s0x31752fa059f65bd7:0x8e9d22f08651a127!8m2!3d10.778228!4d106.6990193!16s%2Fg%2F11vz3b_sg9!19sChIJ11v2WaAvdTERJ6FRhvAinY4?authuser=0&amp;hl=en&amp;rclk=1</t>
  </si>
  <si>
    <t>Sài Gòn Kitchen Vina</t>
  </si>
  <si>
    <t>"They have a great menu, good options &amp; friendly staff."</t>
  </si>
  <si>
    <t>86 Nguyễn Du</t>
  </si>
  <si>
    <t>https://www.google.com/maps/place/7+Bridges+Craft+Beer+Taproom+%26+Restaurant+%2F+L%C3%AA+Th%C3%A1nh+T%C3%B4n/data=!4m7!3m6!1s0x31752f5b858ed635:0xf6afab1d3bbba627!8m2!3d10.7802418!4d106.7046589!16s%2Fg%2F11q26lk9hl!19sChIJNdaOhVsvdTERJ6a7Ox2rr_Y?authuser=0&amp;hl=en&amp;rclk=1</t>
  </si>
  <si>
    <t>7 Bridges Craft Beer Taproom &amp; Restaurant / Lê Thánh Tôn</t>
  </si>
  <si>
    <t>"Delicious , friendly service and fun location."</t>
  </si>
  <si>
    <t>15B/12 Lê Thánh Tôn</t>
  </si>
  <si>
    <t>https://www.google.com/maps/place/Li+Bai+Authentic+Cantonese+Restaurant/data=!4m7!3m6!1s0x31752f91eed42415:0xa178e41d3c672dda!8m2!3d10.7757259!4d106.703781!16s%2Fg%2F11sm70dxh6!19sChIJFSTU7pEvdTER2i1nPB3keKE?authuser=0&amp;hl=en&amp;rclk=1</t>
  </si>
  <si>
    <t>Li Bai Authentic Cantonese Restaurant</t>
  </si>
  <si>
    <t>"Not only the was delicious, I was surprised by the attentive staff."</t>
  </si>
  <si>
    <t>Sheraton Saigon Grand Opera Hotel, 88 Đồng Khởi</t>
  </si>
  <si>
    <t>https://www.google.com/maps/place/LuLi%E2%80%99s+Kitchen+-+District+1/data=!4m7!3m6!1s0x3175273ff56582c7:0xdd300353ed536440!8m2!3d10.7785192!4d106.6981803!16s%2Fg%2F11y1hqb5vt!19sChIJx4Jl9T8ndTERQGRT7VMDMN0?authuser=0&amp;hl=en&amp;rclk=1</t>
  </si>
  <si>
    <t>LuLi’s Kitchen - District 1</t>
  </si>
  <si>
    <t>"Very accommodating for my gluten free needs too."</t>
  </si>
  <si>
    <t>Pasteur/182A Ward</t>
  </si>
  <si>
    <t>https://www.google.com/maps/place/MANA+Station+-+Ti%E1%BB%87m+%C4%82n+M%C3%B3n+Vi%E1%BB%87t/data=!4m7!3m6!1s0x31752fd3bea193bb:0x725fbe1807742206!8m2!3d10.776731!4d106.7047843!16s%2Fg%2F11thkdrbm0!19sChIJu5OhvtMvdTERBiJ0Bxi-X3I?authuser=0&amp;hl=en&amp;rclk=1</t>
  </si>
  <si>
    <t>MANA Station - Tiệm Ăn Món Việt</t>
  </si>
  <si>
    <t>"The Tofu here was cooked to PERFECTION!"</t>
  </si>
  <si>
    <t>Hai Bà Trưng/57 Ward</t>
  </si>
  <si>
    <t>https://www.google.com/maps/place/7+Bridges+Saigon+Craft+Beer+Taproom+%26+Restaurant+%2F+%C4%90%C3%B4ng+Du/data=!4m7!3m6!1s0x31752f3c6c5bfb91:0x806606bca8cdaaf8!8m2!3d10.7765601!4d106.7049095!16s%2Fg%2F11l6zdkck9!19sChIJkftbbDwvdTER-KrNqLwGZoA?authuser=0&amp;hl=en&amp;rclk=1</t>
  </si>
  <si>
    <t>7 Bridges Saigon Craft Beer Taproom &amp; Restaurant / Đông Du</t>
  </si>
  <si>
    <t xml:space="preserve">"Sooo many different flavors, very creative." </t>
  </si>
  <si>
    <t>Saigon Ward, 38 Đông Du</t>
  </si>
  <si>
    <t>https://www.google.com/maps/place/Bebop+Asian+Fusion+Restaurant+%26+Live+Performance/data=!4m7!3m6!1s0x31752f235128cbf7:0xfd9c5e6c405cd012!8m2!3d10.7772531!4d106.7002681!16s%2Fg%2F11ltdhfx0h!19sChIJ98soUSMvdTEREtBcQGxenP0?authuser=0&amp;hl=en&amp;rclk=1</t>
  </si>
  <si>
    <t>Bebop Asian Fusion Restaurant &amp; Live Performance</t>
  </si>
  <si>
    <t>"The was delicious and beautifully presented."</t>
  </si>
  <si>
    <t>38 Lý Tự Trọng</t>
  </si>
  <si>
    <t>https://www.google.com/maps/place/Au+Patio+-+Brunch+%26+Wine/data=!4m7!3m6!1s0x31752f5c1be82ea1:0xb13afb0e57047e13!8m2!3d10.7798799!4d106.7029516!16s%2Fg%2F11q45gq_jn!19sChIJoS7oG1wvdTERE34EVw77OrE?authuser=0&amp;hl=en&amp;rclk=1</t>
  </si>
  <si>
    <t>Au Patio - Brunch &amp; Wine</t>
  </si>
  <si>
    <t>"Chill space, healthy foods, focus on options."</t>
  </si>
  <si>
    <t>31A Lý Tự Trọng</t>
  </si>
  <si>
    <t>https://www.google.com/maps/place/The+Tri%E1%BB%87u+Institute+-+Contemporary+Vietnamese+Restaurant+%26+Cocktail+Bar/data=!4m7!3m6!1s0x31752fee66731693:0xc76cdf3a36a0291e!8m2!3d10.7757948!4d106.7049791!16s%2Fg%2F11t7fbl3t0!19sChIJkxZzZu4vdTERHimgNjrfbMc?authuser=0&amp;hl=en&amp;rclk=1</t>
  </si>
  <si>
    <t>The Triệu Institute - Contemporary Vietnamese Restaurant &amp; Cocktail Bar</t>
  </si>
  <si>
    <t xml:space="preserve">"Every meal we ordered was a 10 out of 10. Flawless presentation and service." </t>
  </si>
  <si>
    <t>10 Mạc Thị Bưởi</t>
  </si>
  <si>
    <t>https://www.google.com/maps/place/Chef+Thi%E1%BB%87n/data=!4m7!3m6!1s0x31752f2549e534db:0x34ffbe0fee59d02f!8m2!3d10.7773358!4d106.6999711!16s%2Fg%2F11gv16lbbw!19sChIJ2zTlSSUvdTERL9BZ7g--_zQ?authuser=0&amp;hl=en&amp;rclk=1</t>
  </si>
  <si>
    <t>Chef Thiện</t>
  </si>
  <si>
    <t xml:space="preserve">"All were very delicious and the prices were reasonable." </t>
  </si>
  <si>
    <t>158 Pasteur</t>
  </si>
  <si>
    <t>https://www.google.com/maps/place/Lune+Restaurant+and+Bar/data=!4m7!3m6!1s0x31752f822051a9e1:0xe414547cfa081b96!8m2!3d10.7798729!4d106.7041977!16s%2Fg%2F11stxhq_vm!19sChIJ4alRIIIvdTERlhsI-nxUFOQ?authuser=0&amp;hl=en&amp;rclk=1</t>
  </si>
  <si>
    <t>Lune Restaurant and Bar</t>
  </si>
  <si>
    <t xml:space="preserve">"The plating and the presentation were perfect and the tastes sensational." </t>
  </si>
  <si>
    <t>17/14 Lê Thánh Tôn</t>
  </si>
  <si>
    <t>https://www.google.com/maps/place/iBERICO+-+TAPAS+y+VINO+Thi+Sach/data=!4m7!3m6!1s0x31752f6f80d7230d:0x5c8fb833f95b52d0!8m2!3d10.778821!4d106.704387!16s%2Fg%2F11td0lqvyl!19sChIJDSPXgG8vdTER0FJb-TO4j1w?authuser=0&amp;hl=en&amp;rclk=1</t>
  </si>
  <si>
    <t>iBERICO - TAPAS y VINO Thi Sach</t>
  </si>
  <si>
    <t>"The was excellent and had ample</t>
  </si>
  <si>
    <t>20A Thi Sách</t>
  </si>
  <si>
    <t>https://www.google.com/maps/place/Le+Jardin/data=!4m7!3m6!1s0x31752f91869ef491:0x9692260637b12915!8m2!3d10.7799746!4d106.7034214!16s%2Fg%2F11vdz9w2wp!19sChIJkfSehpEvdTERFSmxNwYmkpY?authuser=0&amp;hl=en&amp;rclk=1</t>
  </si>
  <si>
    <t>Le Jardin</t>
  </si>
  <si>
    <t>"The was tasty, nicely presented, and service was attentive throughout."</t>
  </si>
  <si>
    <t>31 Thái Văn Lung</t>
  </si>
  <si>
    <t>https://www.google.com/maps/place/SHODAY+RAMEN+L%C3%8A+TH%C3%81NH+T%C3%94N/data=!4m7!3m6!1s0x31752f003588ab39:0x43b975468afc6e0e!8m2!3d10.7798313!4d106.7043948!16s%2Fg%2F11mm8vy9t1!19sChIJOauINQAvdTERDm78ikZ1uUM?authuser=0&amp;hl=en&amp;rclk=1</t>
  </si>
  <si>
    <t>SHODAY RAMEN LÊ THÁNH TÔN</t>
  </si>
  <si>
    <t>17/22 Lê Thánh Tôn</t>
  </si>
  <si>
    <t>https://www.google.com/maps/place/Cherry+Restaurant/data=!4m7!3m6!1s0x31752f1fbdcc0e6f:0xb771493e9e619807!8m2!3d10.77901!4d106.704562!16s%2Fg%2F11v5_27lj3!19sChIJbw7MvR8vdTERB5hhnj5Jcbc?authuser=0&amp;hl=en&amp;rclk=1</t>
  </si>
  <si>
    <t>Cherry Restaurant</t>
  </si>
  <si>
    <t>"Super nice and central location, big menu and options, too!"</t>
  </si>
  <si>
    <t>Thái Văn Lung/11B Ward</t>
  </si>
  <si>
    <t>https://www.google.com/maps/place/Mustard+The+Indian+Bistro/data=!4m7!3m6!1s0x31752fc1a0d7a8ef:0xb0cad5e546d4bd1b!8m2!3d10.7787636!4d106.7027829!16s%2Fg%2F11zjlxvv9y!19sChIJ76jXoMEvdTERG73URuXVyrA?authuser=0&amp;hl=en&amp;rclk=1</t>
  </si>
  <si>
    <t>Mustard The Indian Bistro</t>
  </si>
  <si>
    <t xml:space="preserve">"I had the veggie momos (perfect in all regards!) and the hara kebab." </t>
  </si>
  <si>
    <t>76 Hai Bà Trưng (Mặt trước), Quận 1, Hồ Chí Minh Balcony:, Mặt sau, view balcony, 62 Lê Thánh Tôn</t>
  </si>
  <si>
    <t>https://www.google.com/maps/place/The+Shed/data=!4m7!3m6!1s0x31752f885a2180bd:0xefcc60c1524ca3af!8m2!3d10.7782614!4d106.6984487!16s%2Fg%2F11xmf7bzd0!19sChIJvYAhWogvdTERr6NMUsFgzO8?authuser=0&amp;hl=en&amp;rclk=1</t>
  </si>
  <si>
    <t>The Shed</t>
  </si>
  <si>
    <t>" is sensational with options for everyone and every family friendly."</t>
  </si>
  <si>
    <t>178 Pasteur</t>
  </si>
  <si>
    <t>https://www.google.com/maps/place/Tandoor/data=!4m7!3m6!1s0x31752f05e93cef9f:0x80c92fbf53ff0f62!8m2!3d10.7799751!4d106.7043106!16s%2Fg%2F11s82xpb1c!19sChIJn-886QUvdTERYg__U78vyYA?authuser=0&amp;hl=en&amp;rclk=1</t>
  </si>
  <si>
    <t>Tandoor</t>
  </si>
  <si>
    <t xml:space="preserve">"Each dish we tried was cooked to perfection and beautifully presented." </t>
  </si>
  <si>
    <t>Lê Thánh Tôn/17/10 Ward</t>
  </si>
  <si>
    <t>https://www.google.com/maps/place/Hanakaruta/data=!4m7!3m6!1s0x31752f0e908f0185:0xe1c71bc96c77bca3!8m2!3d10.7799122!4d106.7045026!16s%2Fg%2F11k3m9kvth!19sChIJhQGPkA4vdTERo7x3bMkbx-E?authuser=0&amp;hl=en&amp;rclk=1</t>
  </si>
  <si>
    <t>Hanakaruta</t>
  </si>
  <si>
    <t>QPH3+XR6 Vietnam, Lê Thánh Tôn</t>
  </si>
  <si>
    <t>https://www.google.com/maps/place/Antico+Fornaio+-+Union+Square/data=!4m7!3m6!1s0x31752fd1e165ab05:0x4823ab3f43c97d0d!8m2!3d10.7763495!4d106.7023643!16s%2Fg%2F11z2yyy39q!19sChIJBatl4dEvdTERDX3JQz-rI0g?authuser=0&amp;hl=en&amp;rclk=1</t>
  </si>
  <si>
    <t>Antico Fornaio - Union Square</t>
  </si>
  <si>
    <t>"Great hospitality from the team and they even have a option."</t>
  </si>
  <si>
    <t>LL2, 171 Đồng Khởi</t>
  </si>
  <si>
    <t>https://www.google.com/maps/place/Hum+Central+-+Healthy+Veggies+Delights/data=!4m7!3m6!1s0x31752fef2f233813:0xa84709dc86dcbdaf!8m2!3d10.7800639!4d106.6994983!16s%2Fg%2F11n9s98s8q!19sChIJEzgjL-8vdTERr73chtwJR6g?authuser=0&amp;hl=en&amp;rclk=1</t>
  </si>
  <si>
    <t>Hum Central - Healthy Veggies Delights</t>
  </si>
  <si>
    <t>Toà nhà Viễn Thông Thành Phố, vào lối cửa 6, Đ. Nguyễn Văn Bình</t>
  </si>
  <si>
    <t>https://lh3.googleusercontent.com/gps-cs-s/APNQkAHezLk-lxKIHzCVwmnFBnnitsUiPK2MIlFUCqS2dWKd6EXDFCFmLuUaNW5TtmFIlkFGIMjYr_euglyYSvsXFx1tKB3NNAlz60OfPXufu8uhfV4gT39yVe5P8dHZlvkrNXzDL_U4=w122-h92-k-no</t>
  </si>
  <si>
    <t>was so tasty and healthy and it filled me up!"</t>
  </si>
  <si>
    <t>https://lh3.googleusercontent.com/gps-cs-s/APNQkAGc8nOQNFx7yS3Q0GEUrUviR8fuKLX-5VUTob4eh8NRQoaCLrXoqBPNZpQQULD-yl4T9NzablKCYsFsm48769yOZ9XUKjdMtKS4VsDA_Vv4_a3SeD1YxT_kblEvf4z6ZxwirwIuN9haNGPd=w122-h92-k-no</t>
  </si>
  <si>
    <t>https://lh3.googleusercontent.com/gps-cs-s/APNQkAFndGi0juRXOB4EttMB9CfTPdorpCWMMpP0NjVCi50G3_jJaulaIQVvcbFsdiPsK-ZUwDmLtYAo2v3RmVP0H9uqImrHSvIBPkKTn-3T1EUmDFwo7iZTmY3z_BMCS3EpDj6pR3WKo6sBAAo=w138-h92-k-no</t>
  </si>
  <si>
    <t>"Great hospitality from the team and they even have a</t>
  </si>
  <si>
    <t>option."</t>
  </si>
  <si>
    <t>· Closes 10:45 PM</t>
  </si>
  <si>
    <t>https://lh3.googleusercontent.com/gps-cs-s/APNQkAEzif4gtbyzwHtrWYt-DZEtuWuPcLWgk1-BR7ShYg4mA15FUAQ6ixnLB-neaVZVH9UDorWy_iUZDrEWgXNEVNecNGJH3aB8zQbacFHXmHRksthfTEy0_h7NUqAeGmWbWByjyQJaya7yITE=w138-h92-k-no</t>
  </si>
  <si>
    <t>"I had the veggie momos (perfect in all regards!) and the hara kebab."</t>
  </si>
  <si>
    <t>https://lh3.googleusercontent.com/gps-cs-s/APNQkAGOX_NorFISmzlvfWyxN72rFBqMWjTu2kCEblwkpJ0qn5Ih6t44BngUqNzWhqmyV9SUvQOwstW40WwiSoBCVDAWAocUiIhpn6YbWakyiacDNRsRiurTmbT86ojm-sJa4WVJ6Hdnrr6eeF0a=w163-h92-k-no</t>
  </si>
  <si>
    <t>"Very accommodating for my</t>
  </si>
  <si>
    <t>gluten free needs too."</t>
  </si>
  <si>
    <t>https://lh3.googleusercontent.com/gps-cs-s/APNQkAGH52pMM99JZohVFvBcuS092sniPpFoQMxwPefoAimEVkeZ_BImQG1Hbbagy7-5HXFc7yG_EpwGWBb8GKUMgQ2YPVBE9KiVey6FgH_zj05gAayEPbW1PaQSflHQQI0EZ384qIiDXpjFZ4ql=w80-h100-k-no</t>
  </si>
  <si>
    <t>· Closes 3 AM</t>
  </si>
  <si>
    <t>https://lh3.googleusercontent.com/gps-cs-s/APNQkAHpiJM2hQtKgdigMf44VgsotTLboKtbm9VWAP949A_h9GLDGSqHgow-7ZhXtoEIBsivQj2BFDT47NUMJwMl5mAt-f_sCU07yzieZKMMTkt5lkHm-shF92fCy05DZfSC3ZWBT5D9qN6PC2QH=w122-h92-k-no</t>
  </si>
  <si>
    <t>"Super nice and central location, big menu and</t>
  </si>
  <si>
    <t>options, too!"</t>
  </si>
  <si>
    <t>French</t>
  </si>
  <si>
    <t>· Closes 2 PM · Reopens 5 PM</t>
  </si>
  <si>
    <t>https://lh3.googleusercontent.com/gps-cs-s/APNQkAHSZWttPC1T_CFsYQGAf6pKZiME9VtdGara96qK_CCesOt1NYeV8jdrASsbgoL3lMp1ZWi5N1PZJDqIpx_l_5-sSP7L3EaOrSqZKl3QEjU7CAe05YcXx7LL3Yr4S9P6f0c20i5o_TFGJfuI=w80-h106-k-no</t>
  </si>
  <si>
    <t>"The plating and the presentation were perfect and the tastes sensational."</t>
  </si>
  <si>
    <t>https://lh3.googleusercontent.com/gps-cs-s/APNQkAFZbRSQ5-eCw-jl1AGEGG4AHjAp4OmCv_4d5nfSVvtn-QqbTCWdXGbnYK-0v5koAn08DyMb0iYMFj_qgLNnbH2t2B-NQZKoMgiqOcg3DL9qNmwrYXvawGrLWmOL0U2YD_84axQcGpweIRpN=w122-h92-k-no</t>
  </si>
  <si>
    <t>"Finger licking good</t>
  </si>
  <si>
    <t>and service with a smile by Johnny."</t>
  </si>
  <si>
    <t>https://lh3.googleusercontent.com/gps-cs-s/APNQkAFevZ1rTiFQO5G2ywBK8rBeufgukANCzPt1EwIiA4TzgYfv8qq4FXrVJxgXomZlkoXSZ1zoQpRCXqukjoMqHmH7WCGmECPDWaLw_5pg1AeVSSwikrlk1QPKB8VnfdHGuQrrAOAPWhyQIw1c=w122-h92-k-no</t>
  </si>
  <si>
    <t>"They have a great menu, good</t>
  </si>
  <si>
    <t>options &amp; friendly staff."</t>
  </si>
  <si>
    <t>https://lh3.googleusercontent.com/gps-cs-s/APNQkAFU5K-yl0yVeZKEAggYSWN-enWSg3Ui7kj90ZrQtOkiPA51WTsPuY9xGZnoSqpAn88efqEUeyecm4GQVY0JtygLVvy-9qyF-9SVJef830ncMCWzUQ10LYiuSNNguewcyNMrQfU=w122-h92-k-no</t>
  </si>
  <si>
    <t>Tofu here was cooked to PERFECTION!"</t>
  </si>
  <si>
    <t>https://lh3.googleusercontent.com/gps-cs-s/APNQkAFzxfXvtjbc-ySWkGE-Z4L8zM7mrMHHelvD8FKo5GU2rNPEUxBa-j0J97fKgzYx9WGwDiRLyqeVuAHAPf3_1XS49-X7oAVU-Fw0xZS2d0p5sBTNG1F9lXgBRO1GMZDzrNcKjSF_6A=w138-h92-k-no</t>
  </si>
  <si>
    <t>"Very tasty</t>
  </si>
  <si>
    <t>options and a cute space."</t>
  </si>
  <si>
    <t>· Closes 12 AM</t>
  </si>
  <si>
    <t>https://lh3.googleusercontent.com/gps-cs-s/APNQkAH1MMfui_RRk5m0USmuaPXURbSixx4tvg3uS3Itduv-KkLMraUfA_GmBQjIN82QWk526IjqH_aOQJSIXiFld7OHtWzCRjut401yrB6F0TH-azNb-gNqBONnx1HHf4NBoOgQbq_kbw=w137-h92-k-no</t>
  </si>
  <si>
    <t>"Meat-eaters, vegetarians and</t>
  </si>
  <si>
    <t>vegans</t>
  </si>
  <si>
    <t>can all find PLENTY to eat."</t>
  </si>
  <si>
    <t>· Opens 5 PM</t>
  </si>
  <si>
    <t>https://lh3.googleusercontent.com/gps-cs-s/APNQkAGAuDwW-9CJbL5XAmvgVW913EN0TJEBu0wiONlVj5scjYPJ_aFMbltPEX6Ii0w5EvuuOYwFurben1bdc4akygypldvKR8URENYe-1pEvfGrfR52Y2wJFxx72Zgk-tr4PVQdcX1FJlsEHSVf=w122-h92-k-no</t>
  </si>
  <si>
    <t>was delicious and beautifully presented."</t>
  </si>
  <si>
    <t>https://lh3.googleusercontent.com/gps-cs-s/APNQkAG4ANboD9AUNmXop36mgeUs2wsrIGMZw3_wt59Kjq1Fk5tPWiYkNeeRrMjGLsPm8Fin21WMeeogYDQzbERh5CVYyJTYTeeM1UlTbDMbCikBBlkn0G2aFBQ0R1-ke1HAz2ALITeCRsUyiwxN=w204-h92-k-no</t>
  </si>
  <si>
    <t>"We tried vegetarians options and all was awesome."</t>
  </si>
  <si>
    <t>https://lh3.googleusercontent.com/gps-cs-s/APNQkAHrJc4QYmPZoVi_m8iz9Y9Gq9hZIDo90Ez4JMuLqi2cLZQ10Sg5DtKcLbRu6DQxdVqHjowAmyNuK5AB9Qp1Rd5Z4OPxMKgeMoeXfaoXPc35K63I3MhISsPv_KSvtymS5DwMs3QU=w80-h106-k-no</t>
  </si>
  <si>
    <t>Food</t>
  </si>
  <si>
    <t>very good and the staff is very friendly"</t>
  </si>
  <si>
    <t>https://lh3.googleusercontent.com/gps-cs-s/APNQkAGSkw1VVA4i_b9sqNgW67IFfSldzI7pmVFYhxB1sS7d04u62GxKVHow45hrKmBDD4RY42CsmKDpdF-3qDE8b0PK__qryFjfxU0YRPKFAaC7r-T1DUU7A6OExyw8Sf55k9kMGbFh=w122-h92-k-no</t>
  </si>
  <si>
    <t>"Amazing fresh, tasty, nutritious</t>
  </si>
  <si>
    <t>served with a warm welcoming smile."</t>
  </si>
  <si>
    <t>https://lh3.googleusercontent.com/p/AF1QipMyzR_-BYuhAlVPzZ2HB_3E2_0E6OoFvAPZxOoj=w80-h92-p-k-no</t>
  </si>
  <si>
    <t>https://lh3.googleusercontent.com/gps-cs-s/APNQkAEF04PAUKS6ZItMmlV5Z66qwIAriWOYUW2WfVxrWYEVEKJcQxLF1RQ-_U5PDLuOQFhDRffMC2NVHTlrbfmIYpDgj_RayhLw301PeNnl51_r3v_qxoiFnnSrGBmhe9ABK7x8zsUFWvROjx4=w80-h106-k-no</t>
  </si>
  <si>
    <t>"Every meal we ordered was a 10 out of 10. Flawless presentation and service."</t>
  </si>
  <si>
    <t>https://lh3.googleusercontent.com/gps-cs-s/APNQkAEKS59nirgSZYGmvkiRQnKqyn1sl8iYhH2kO2qK_DyWTv_wAywKp38HWihDjLYHptnYNjJFAX5cycJSym6K7sUCamz5zlIvwZJzKo-tUt701u5dDe6isHJgXe_iFUJDSjll6htY8Myvttek=w138-h92-k-no</t>
  </si>
  <si>
    <t>"Sooo many different flavors, very creative."</t>
  </si>
  <si>
    <t>· Closes 2 PM · Reopens 5:30 PM</t>
  </si>
  <si>
    <t>https://lh3.googleusercontent.com/gps-cs-s/APNQkAGY0QadBOhm5V9aWbvyq6LhWFz6zy-SKT1205tkb6F9gSwhicIEM6GBT9QZjYDlpZfUrr1H9wH6UTKfI0R7X_sxnpXR63mZalMHJNrZrdCeSZHdfCXRXZ9OXLEOO3xHpaZl6Gda9g=w118-h92-k-no</t>
  </si>
  <si>
    <t>"All were very delicious and the prices were reasonable."</t>
  </si>
  <si>
    <t>· Opens 7:45 AM Thu</t>
  </si>
  <si>
    <t>https://lh3.googleusercontent.com/gps-cs-s/APNQkAG24_IQz7Lv7l6XaYv1DmmCXcb4QR_vPkxa2A7fAYUvCXuLnwJMfe1Asa8it0gyQAbmz9o0MR2JKpwNOAaFN6ORogJOVS799VbaDKtCpa3A-VN9RaJfhHClnKJ4ve2KMNmHjtgqjdunOaEv=w138-h92-k-no</t>
  </si>
  <si>
    <t>"Chill space, healthy foods, focus on</t>
  </si>
  <si>
    <t>options."</t>
  </si>
  <si>
    <t>https://lh3.googleusercontent.com/gps-cs-s/APNQkAGMl9-r69TkycUzg8w1zf021pzFPOjaIuerSzqoNnNEDIvuqQSzM4s8j1_gpF-C3MXvOYvTaZ4FwrbTtyIh1kCVcAQsIHsnyM3j_c4apQmlLVsnSUM0DWWBfl4CgMAFKQeOQ7xK-IRt6r0=w80-h106-k-no</t>
  </si>
  <si>
    <t>"Amazing healthy</t>
  </si>
  <si>
    <t>, great music and ambience"</t>
  </si>
  <si>
    <t>https://lh3.googleusercontent.com/gps-cs-s/APNQkAFnwfQdZmnZCP53-SCkpxDc2E6jci8-pvONM-zSf3_nSk2isNkVsyag1JzjX-lVy11t1WsVtxTZlkrgIUVleQrcHeYTCg9DWc7GfMZ7Ku1OSZQkRpNu36Vqzff-dzcZxZU0aCajQCRIKMrK=w92-h92-k-no</t>
  </si>
  <si>
    <t>was tasty, nicely presented, and service was attentive throughout."</t>
  </si>
  <si>
    <t>· Closes 2:30 PM · Reopens 6 PM</t>
  </si>
  <si>
    <t>https://lh3.googleusercontent.com/gps-cs-s/APNQkAHrQHa24vwlEdN6cnO2Tlds1jA4nzs3LvimxUkwuHoDUO85jTFf67pkjXCXzB7bTY5vKZFSuCZhIB4j79-pSs9OKmRXQyKMAVP5b4U79M3HGT5YNNk3WP_SRFFmCoKHwmvpSP3lMEixY1j9=w80-h106-k-no</t>
  </si>
  <si>
    <t>"Not only the</t>
  </si>
  <si>
    <t>was delicious, I was surprised by the attentive staff."</t>
  </si>
  <si>
    <t>Mediterranean</t>
  </si>
  <si>
    <t>https://lh3.googleusercontent.com/gps-cs-s/APNQkAE0fnL60aQZBtpOSLlJ3mEnmjS-ivFXy9Vvgqvs7SFzQy1_Mp8zN5DyMmg9RkYV44ZTyaYXbGB4n3cnruiKOO2ImJREJeHNg57cYef7vnAhFVc_guK5PLTaMTXTF5XCMJMssrCV9zUZ57I=w80-h106-k-no</t>
  </si>
  <si>
    <t>- clean, healthy and fast for a full fresh meal."</t>
  </si>
  <si>
    <t>· Closes 1 AM</t>
  </si>
  <si>
    <t>https://lh3.googleusercontent.com/gps-cs-s/APNQkAHZDQ1RoeZZP0cXgn9QSqi9St-4jzYD_hIkiDDthqTM6wYJmQvyTO6IS4yLvG5Tm_YDB-vTFdfB7zAhZcBi6QHWkOlPdSFlAqNwu3OSSY72znTdlCj9pCEZ7vTC3MK4IAPg_p_TZ3AtI-c=w138-h92-k-no</t>
  </si>
  <si>
    <t>is sensational with options for everyone and every family friendly."</t>
  </si>
  <si>
    <t>Modern French</t>
  </si>
  <si>
    <t>· Closes 2:30 PM · Reopens 5:30 PM</t>
  </si>
  <si>
    <t>https://lh3.googleusercontent.com/gps-cs-s/APNQkAFf8Prkp46TLMzwExfd6hQglvGtLXJSVAodtRJX8Vg47wBspXVY5MS9Bk6l9i9Vm9DXrhmuOuSff-ZP4hh4O-JDdG_WJRq0chifiA74wFYDoK066WcyDJdQoMAHr3Ye73Pi8wxtGw=w137-h92-k-no</t>
  </si>
  <si>
    <t>"Creative presentation, delicious</t>
  </si>
  <si>
    <t>https://lh3.googleusercontent.com/gps-cs-s/APNQkAFPmXxPQEVn3DYb2MGzHsoJsLA6tlX2oS1rPCmk4I0bUYcKuD6IwN_g_vua8VK9e6Fa1Ks5Cu0557B6NODvn6XOI7gr3MboOP8hwXo_p2JuxMhSjoIcOLYU3Tt5JqC9h7zakxKezChoUoix=w80-h106-k-no</t>
  </si>
  <si>
    <t>https://lh3.googleusercontent.com/gps-cs-s/APNQkAFXkDrnteXn8QB_xxTbtqdWBBmtE3ilSkNFs2emNEZj72kdioglcd6K_Dr2WJlI3R9-MnpSyQdlnAIgsWp4zujHQ779dC8NSAIRQ7EuZncVvzM4mPNwFrCW-YDwQHISt3mCxPsgrw=w122-h92-k-no</t>
  </si>
  <si>
    <t>was excellent and had ample</t>
  </si>
  <si>
    <t>https://lh3.googleusercontent.com/gps-cs-s/APNQkAGMTpWAezkzn_ecxMzzLywi1snlWpwjbQ02CT-hRB0pRFAbmxFXo_ukSpszSwHtvutFnVQpKEoXj41UTfYw8RJYYI45tf4hph0fp8_THtsl2pWxrLg5ZH0SYMzViHAFArUNaqsxBWCLnkDn=w122-h92-k-no</t>
  </si>
  <si>
    <t>"Great location,  large selection of</t>
  </si>
  <si>
    <t>types, both</t>
  </si>
  <si>
    <t>Ramen</t>
  </si>
  <si>
    <t>https://lh3.googleusercontent.com/gps-cs-s/APNQkAHZpeJys2HqZ4l13NkUKmPVpdIiTs_EnG2BCXts_sCRqnHdQC-oSuh2ayf5pu2-jGPfsVuIFBPdKf2AArzxO0K_5GATUJOLedWdUDOv5qQGRXMyGGuKHF1SyNOTEkyvvM-749-m=w122-h92-k-no</t>
  </si>
  <si>
    <t>"They have a</t>
  </si>
  <si>
    <t>version on the menu, and it's very tasty!"</t>
  </si>
  <si>
    <t>· Closes 2 AM</t>
  </si>
  <si>
    <t>https://lh3.googleusercontent.com/gps-cs-s/APNQkAGaBkundTB_lmiVbwR3WsZGFlX453xHLYlw0Y9nxwAwDd9ilmWgTHKh3wMWXfhq9NLUFyjlfLzGHmUZiMGyOTpK3VdeoPv_k4SbmiYF-f1by46NsGAPlCSZ2AiEIsZyzEvi9v_1f1RzUa1g=w138-h92-k-no</t>
  </si>
  <si>
    <t>, friendly service and fun location."</t>
  </si>
  <si>
    <t>https://lh3.googleusercontent.com/gps-cs-s/APNQkAGoS6bjdgK9l3izt6F-4oBeYvlM3fuycB7UudgWlj87tR_xpfpZ_mpJGHY7rMciTksyt79lBkJj1-03pnWGSeGy7EZnMOkZ-ek--psNNg6iV5KuzVPg7r3gVVd_eWWSqWLOPlv7UTcmLV_j=w122-h92-k-no</t>
  </si>
  <si>
    <t>and the understood what a gluten allergy is."</t>
  </si>
  <si>
    <t>https://lh3.googleusercontent.com/gps-cs-s/APNQkAEv9EpK__GQduusRVP9Bv6waWvYJthr4Z_wWVYU1Uh08l6_50TlVdVlaghSHta8vE6tdeQ7wvuKc0Xfmub8AcNnTaVem_Xoafw3hK--vqg6Y3o4RFolHGUP1qoDM3LVaa7wcAzcc2e9Pbn9=w80-h106-k-no</t>
  </si>
  <si>
    <t>"Was able to built myself a</t>
  </si>
  <si>
    <t>ramen."</t>
  </si>
  <si>
    <t>· Closes 2:30 PM · Reopens 5 PM</t>
  </si>
  <si>
    <t>https://lh3.googleusercontent.com/gps-cs-s/APNQkAEbO4wReN-EcFo0L0mugT7RkZzVTBi69y5YTrYhf39s-ofeT0HrjBGMvQWHM9cHl4l1F6UQvCtd-ZaBHFUmokqL_5VxAqYTkkM99xo6gY1Y9mdL5EQqYc0jsyqSy89aHagYOztE5g=w122-h92-k-no</t>
  </si>
  <si>
    <t>"Each dish we tried was cooked to perfection and beautifully presented."</t>
  </si>
  <si>
    <t>Mode</t>
  </si>
  <si>
    <t>Street food market / food court</t>
  </si>
  <si>
    <t>134 Nam Kỳ Khởi Nghĩa, Bến Nghé, District 1</t>
  </si>
  <si>
    <t>Japanese ramen / vegetarian-friendly</t>
  </si>
  <si>
    <t>Lê Thánh Tôn area, Bến Nghé, District 1</t>
  </si>
  <si>
    <t>Vietnamese bistro / vegetarian-friendly</t>
  </si>
  <si>
    <t>21 Hàn Thuyên, Bến Nghé, District 1</t>
  </si>
  <si>
    <t>Healthy food / salad / meal plan</t>
  </si>
  <si>
    <t>Health-conscious locals + international diners</t>
  </si>
  <si>
    <t>42 Lý Tự Trọng, Bến Nghé, District 1</t>
  </si>
  <si>
    <t>Excluded: alcohol-focused venue</t>
  </si>
  <si>
    <t>Excluded from vegetarian-restaurant target set</t>
  </si>
  <si>
    <t>District 1 core — detail not enriched</t>
  </si>
  <si>
    <t>Indian / vegetarian-friendly</t>
  </si>
  <si>
    <t>23 Đông Du, Bến Nghé, District 1</t>
  </si>
  <si>
    <t>Banh mi / vegetarian-friendly</t>
  </si>
  <si>
    <t>57 Nguyễn Du, Bến Nghé, District 1</t>
  </si>
  <si>
    <t>Healthy bowl / poke / vegetarian-friendly</t>
  </si>
  <si>
    <t>42 Bis Lý Tự Trọng, Bến Nghé, District 1</t>
  </si>
  <si>
    <t>Contemporary Vietnamese / vegetarian-friendly</t>
  </si>
  <si>
    <t>74/7 Hai Bà Trưng, Bến Nghé, District 1</t>
  </si>
  <si>
    <t>Vietnamese cuisine / vegetarian-friendly</t>
  </si>
  <si>
    <t>91 Hai Bà Trưng, Bến Nghé, District 1</t>
  </si>
  <si>
    <t>Cafe / brunch / vegetarian-friendly</t>
  </si>
  <si>
    <t>23 Hàn Thuyên, Bến Nghé, District 1</t>
  </si>
  <si>
    <t>Bến Nghé, District 1</t>
  </si>
  <si>
    <t>11B Trần Cao Vân, District 1</t>
  </si>
  <si>
    <t>French / vegetarian-friendly</t>
  </si>
  <si>
    <t>5D Nguyễn Siêu, Bến Nghé, District 1</t>
  </si>
  <si>
    <t>Vietnamese / casual dining</t>
  </si>
  <si>
    <t>Local customers + mixed diners</t>
  </si>
  <si>
    <t>Cantonese / vegetarian-friendly</t>
  </si>
  <si>
    <t>88 Đồng Khởi, Bến Nghé, District 1</t>
  </si>
  <si>
    <t>Vietnamese / home-style dining</t>
  </si>
  <si>
    <t>Vietnamese casual dining</t>
  </si>
  <si>
    <t>Asian fusion / live performance</t>
  </si>
  <si>
    <t>Brunch cafe / excluded alcohol-related signal</t>
  </si>
  <si>
    <t>Excluded: cocktail-bar signal</t>
  </si>
  <si>
    <t>Vietnamese / chef-led dining</t>
  </si>
  <si>
    <t>Excluded: bar signal</t>
  </si>
  <si>
    <t>Spanish tapas / excluded wine signal</t>
  </si>
  <si>
    <t>French / European / vegetarian-friendly</t>
  </si>
  <si>
    <t>Lê Thánh Tôn, Bến Nghé, District 1</t>
  </si>
  <si>
    <t>Casual restaurant / needs manual review</t>
  </si>
  <si>
    <t>Cafe / casual dining / needs manual review</t>
  </si>
  <si>
    <t>District 1 core</t>
  </si>
  <si>
    <t>Japanese / omakase-style / vegetarian-friendly</t>
  </si>
  <si>
    <t>Italian bakery / cafe / vegetarian-friendly</t>
  </si>
  <si>
    <t>Union Square, Đồng Khởi, Bến Nghé, District 1</t>
  </si>
  <si>
    <t>Vegetarian / plant-forward dining</t>
  </si>
  <si>
    <t>L.3 VNPT Building, Nguyễn Văn Bình, District 1</t>
  </si>
  <si>
    <t>Parsed from Google Maps URL; District 1 central coordinates</t>
  </si>
  <si>
    <t>Public address source + coordinate check</t>
  </si>
  <si>
    <t>Matched public address source</t>
  </si>
  <si>
    <t>Ward 1</t>
  </si>
  <si>
    <t>Binh Thanh, Ward 1</t>
  </si>
  <si>
    <t>Matched public address source / ward merger</t>
  </si>
  <si>
    <t>Coordinate/address clue check</t>
  </si>
  <si>
    <t>Resolved ambiguous Ward 11/12 using coordinates</t>
  </si>
  <si>
    <t>Phu Nhuan</t>
  </si>
  <si>
    <t>Public address source: Ward 10, Phu Nhuan</t>
  </si>
  <si>
    <t>Ward 10</t>
  </si>
  <si>
    <t>Phu Nhuan, Ward 10</t>
  </si>
  <si>
    <t>Public address source: Nguyen Van Troi, Ward 11</t>
  </si>
  <si>
    <t>Ward 11</t>
  </si>
  <si>
    <t>Phu Nhuan, Ward 11</t>
  </si>
  <si>
    <t>District 10</t>
  </si>
  <si>
    <t>Public/address source + coordinate check</t>
  </si>
  <si>
    <t>Ward 12</t>
  </si>
  <si>
    <t>District 10, Ward 12</t>
  </si>
  <si>
    <t>Corrected outside selected scope</t>
  </si>
  <si>
    <t>District 3, Ward 11</t>
  </si>
  <si>
    <t>Public address source: Tran Huy Lieu, Ward 15</t>
  </si>
  <si>
    <t>Ward 15</t>
  </si>
  <si>
    <t>Phu Nhuan, Ward 15</t>
  </si>
  <si>
    <t>Resolved from address; one source conflict remains</t>
  </si>
  <si>
    <t>Coordinate heuristic; public source not fully verified</t>
  </si>
  <si>
    <t>Nguyễn Cư Trinh</t>
  </si>
  <si>
    <t>District 1, Ward Nguyễn Cư Trinh</t>
  </si>
  <si>
    <t>District 4</t>
  </si>
  <si>
    <t>Ward 9</t>
  </si>
  <si>
    <t>District 4, Ward 9</t>
  </si>
  <si>
    <t>Resolved outside selected scope</t>
  </si>
  <si>
    <t>Ward 3</t>
  </si>
  <si>
    <t>District 4, Ward 3</t>
  </si>
  <si>
    <t>Resolved outside selected scope; verify if needed</t>
  </si>
  <si>
    <t>District 5</t>
  </si>
  <si>
    <t>District 5, Ward 1</t>
  </si>
  <si>
    <t>Address source + coordinate check</t>
  </si>
  <si>
    <t>Resolved ambiguous Ward 1/3; source conflict remains</t>
  </si>
  <si>
    <t>Coordinates parsed from Google Maps URL; District 1 central area</t>
  </si>
  <si>
    <t>Coordinate/address heuristic; possible central Bến Thành/Bến Nghé boundary</t>
  </si>
  <si>
    <t>Name/address clue: Lê Thánh Tôn, District 1</t>
  </si>
  <si>
    <t>Name/address clue: Hàn Thuyên / Bến Nghé</t>
  </si>
  <si>
    <t>Coordinate/name heuristic: Lý Tự Trọng central District 1</t>
  </si>
  <si>
    <t>Name/address clue: Lý Tự Trọng / Bến Nghé area</t>
  </si>
  <si>
    <t>Coordinate heuristic: central east District 1</t>
  </si>
  <si>
    <t>Name/address clue: Nguyễn Du / Bến Nghé area</t>
  </si>
  <si>
    <t>Name/address clue: Hai Bà Trưng / Bến Nghé area</t>
  </si>
  <si>
    <t>Matched duplicate coordinates/name already classified as Đa Kao</t>
  </si>
  <si>
    <t>Coordinate heuristic near Bến Thành central cluster</t>
  </si>
  <si>
    <t>Name/address clue: Dong Khoi/Dong Du hotel area</t>
  </si>
  <si>
    <t>Coordinate heuristic: central Bến Nghé/Bến Thành boundary</t>
  </si>
  <si>
    <t>Name/address clue: Đông Du / Bến Nghé area</t>
  </si>
  <si>
    <t>Name/address clue: Thi Sách / Bến Nghé area</t>
  </si>
  <si>
    <t>Name/address clue: Union Square / Nguyễn Huệ area</t>
  </si>
  <si>
    <t>Name/address clue: Nguyễn Văn Bình / Bến Nghé area</t>
  </si>
  <si>
    <t>Review per restaurant by ward</t>
  </si>
  <si>
    <t xml:space="preserve">Price range share </t>
  </si>
  <si>
    <t>Total district review</t>
  </si>
  <si>
    <t>Total district restaurant</t>
  </si>
  <si>
    <t xml:space="preserve">% Top 5 Review </t>
  </si>
  <si>
    <t>No of review of Top 5 restaurant</t>
  </si>
  <si>
    <t>Restaurant Opening hour</t>
  </si>
  <si>
    <t>% restaurant</t>
  </si>
  <si>
    <t>% reviews</t>
  </si>
  <si>
    <t>Category</t>
  </si>
  <si>
    <t>Values</t>
  </si>
  <si>
    <t># Listing</t>
  </si>
  <si>
    <t># Reviews</t>
  </si>
  <si>
    <t>Scenario</t>
  </si>
  <si>
    <t>Restaurants in bucket</t>
  </si>
  <si>
    <t>Reviews in bucket</t>
  </si>
  <si>
    <t>Reviews / restaurant</t>
  </si>
  <si>
    <t>Price restaurant share</t>
  </si>
  <si>
    <t>Price review share</t>
  </si>
  <si>
    <t>Opportunity gap</t>
  </si>
  <si>
    <t>Customer segment fit</t>
  </si>
  <si>
    <t>Notes</t>
  </si>
  <si>
    <t>Strongest proven demand; use only with clear differentiation due to competition.</t>
  </si>
  <si>
    <t>Good expat fit; medium bistro/cafe can work if positioned more lifestyle-led.</t>
  </si>
  <si>
    <t>Smaller base but strong reviews per restaurant; good alternative to D1.</t>
  </si>
  <si>
    <t>Balanced medium opportunity for expat/residential market.</t>
  </si>
  <si>
    <t>Medium price is the dominant bucket, but total demand is still smaller.</t>
  </si>
  <si>
    <t>Premium demand exists, but market is highly saturated.</t>
  </si>
  <si>
    <t>Best premium white-space: strong expat fit and review share exceeds supply share.</t>
  </si>
  <si>
    <t>Strong premium review signal, but lower strategic fit than D2 for expat/lifestyle positioning; validate audience mix and site economics.</t>
  </si>
  <si>
    <t>Lower competition, but premium demand is smaller than D1/D2/D3.</t>
  </si>
  <si>
    <t>No premium evidence in current shortlist.</t>
  </si>
  <si>
    <t>Restaurants</t>
  </si>
  <si>
    <t>Demand Strength Score</t>
  </si>
  <si>
    <t>Gap Score</t>
  </si>
  <si>
    <t>Price Fit Score</t>
  </si>
  <si>
    <t>Customer Fit Score</t>
  </si>
  <si>
    <t>Final Weighted Score</t>
  </si>
  <si>
    <t>Interpretation</t>
  </si>
  <si>
    <t>Opening hour by district</t>
  </si>
  <si>
    <t>Competition Intensity</t>
  </si>
  <si>
    <t>Demand Strength</t>
  </si>
  <si>
    <t>Demand-to-Competition Gap</t>
  </si>
  <si>
    <t>Price Bucket Fit</t>
  </si>
  <si>
    <t>Customer Segment Fit</t>
  </si>
  <si>
    <t>Restaurant Model Fit</t>
  </si>
  <si>
    <t>Weight Check</t>
  </si>
  <si>
    <t># Restaurant &amp; review by restaurant concept</t>
  </si>
  <si>
    <t># restaurant per district by restaurant concept</t>
  </si>
  <si>
    <t>Price range distribution by restaurant concept</t>
  </si>
  <si>
    <t>Restaurant concept fit</t>
  </si>
  <si>
    <t>Concept Fit Score</t>
  </si>
  <si>
    <t>Field Name</t>
  </si>
  <si>
    <t>Data Type</t>
  </si>
  <si>
    <t>Description</t>
  </si>
  <si>
    <t>Text / URL</t>
  </si>
  <si>
    <t>Google Maps listing URL for each restaurant.</t>
  </si>
  <si>
    <t>Text</t>
  </si>
  <si>
    <t>Cleaned restaurant name from Google Maps.</t>
  </si>
  <si>
    <t>Decimal number</t>
  </si>
  <si>
    <t>Google Maps average rating score.</t>
  </si>
  <si>
    <t>Whole number</t>
  </si>
  <si>
    <t>Number of Google Maps reviews for the restaurant.</t>
  </si>
  <si>
    <t>Text / category</t>
  </si>
  <si>
    <t>Raw price range label captured from Google Maps.</t>
  </si>
  <si>
    <t>Time / Excel serial</t>
  </si>
  <si>
    <t>Opening time captured from listing, stored as Excel time fraction.</t>
  </si>
  <si>
    <t>Representative review snippet captured from Google Maps.</t>
  </si>
  <si>
    <t>Street address of the restaurant.</t>
  </si>
  <si>
    <t>Latitude coordinate from the district classification process.</t>
  </si>
  <si>
    <t>Longitude coordinate from the district classification process.</t>
  </si>
  <si>
    <t>Cleaned district group used for analysis.</t>
  </si>
  <si>
    <t>Cleaned ward-level location tag.</t>
  </si>
  <si>
    <t>Simplified price tier derived from Price_range.</t>
  </si>
  <si>
    <t>Opening-time period derived from Open_time.</t>
  </si>
  <si>
    <t>Scraped listing order or ranking within source collection.</t>
  </si>
  <si>
    <t>Restaurant style/model classification.</t>
  </si>
  <si>
    <t>Signal of whether the restaurant is international-facing or mixed local-facing.</t>
  </si>
  <si>
    <t>Yes/No</t>
  </si>
  <si>
    <t>Flag showing whether the concept includes cafe, coffee, tea, or light-dining cues.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</si>
</sst>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F400]h:mm:ss\ AM/PM"/>
    <numFmt numFmtId="165" formatCode="0.0"/>
    <numFmt numFmtId="166" formatCode="_(* #,##0_);_(* \(#,##0\);_(* &quot;-&quot;??_);_(@_)"/>
    <numFmt numFmtId="167" formatCode="0.0%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1F2937"/>
      <name val="Aptos"/>
      <family val="2"/>
    </font>
    <font>
      <sz val="10"/>
      <color rgb="FF1F2937"/>
      <name val="Aptos"/>
      <family val="2"/>
    </font>
    <font>
      <sz val="11"/>
      <name val="Carlito"/>
    </font>
    <font>
      <b/>
      <sz val="11"/>
      <color rgb="FF1F2937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FD8"/>
      </patternFill>
    </fill>
    <fill>
      <patternFill patternType="solid">
        <fgColor rgb="FFFFF7E6"/>
      </patternFill>
    </fill>
    <fill>
      <patternFill patternType="solid">
        <fgColor rgb="FFF6FAF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AD3"/>
      </patternFill>
    </fill>
  </fills>
  <borders count="8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indexed="64"/>
      </bottom>
      <diagonal/>
    </border>
    <border>
      <left/>
      <right/>
      <top/>
      <bottom style="thin">
        <color rgb="FF9CA3AF"/>
      </bottom>
      <diagonal/>
    </border>
  </borders>
  <cellStyleXfs count="5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</cellStyleXfs>
  <cellXfs count="5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166" fontId="0" fillId="0" borderId="0" xfId="2" applyNumberFormat="1" applyFont="1"/>
    <xf numFmtId="9" fontId="0" fillId="0" borderId="0" xfId="3" applyFont="1"/>
    <xf numFmtId="0" fontId="5" fillId="4" borderId="1" xfId="0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2" xfId="0" applyBorder="1"/>
    <xf numFmtId="0" fontId="4" fillId="7" borderId="2" xfId="0" applyFont="1" applyFill="1" applyBorder="1"/>
    <xf numFmtId="0" fontId="7" fillId="8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/>
    </xf>
    <xf numFmtId="165" fontId="8" fillId="0" borderId="4" xfId="0" applyNumberFormat="1" applyFont="1" applyBorder="1" applyAlignment="1">
      <alignment vertical="center" wrapText="1"/>
    </xf>
    <xf numFmtId="167" fontId="8" fillId="0" borderId="4" xfId="0" applyNumberFormat="1" applyFont="1" applyBorder="1" applyAlignment="1">
      <alignment vertical="center" wrapText="1"/>
    </xf>
    <xf numFmtId="1" fontId="8" fillId="9" borderId="4" xfId="0" applyNumberFormat="1" applyFont="1" applyFill="1" applyBorder="1" applyAlignment="1">
      <alignment vertical="center" wrapText="1"/>
    </xf>
    <xf numFmtId="165" fontId="8" fillId="10" borderId="4" xfId="0" applyNumberFormat="1" applyFont="1" applyFill="1" applyBorder="1" applyAlignment="1">
      <alignment vertical="center" wrapText="1"/>
    </xf>
    <xf numFmtId="1" fontId="8" fillId="0" borderId="4" xfId="0" applyNumberFormat="1" applyFont="1" applyBorder="1" applyAlignment="1">
      <alignment vertical="center" wrapText="1"/>
    </xf>
    <xf numFmtId="9" fontId="8" fillId="0" borderId="4" xfId="3" applyFont="1" applyBorder="1" applyAlignment="1">
      <alignment vertical="center" wrapText="1"/>
    </xf>
    <xf numFmtId="9" fontId="8" fillId="0" borderId="4" xfId="3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 wrapText="1"/>
    </xf>
    <xf numFmtId="9" fontId="8" fillId="0" borderId="5" xfId="3" applyFont="1" applyFill="1" applyBorder="1" applyAlignment="1">
      <alignment vertical="center" wrapText="1"/>
    </xf>
    <xf numFmtId="165" fontId="8" fillId="0" borderId="5" xfId="0" applyNumberFormat="1" applyFont="1" applyBorder="1" applyAlignment="1">
      <alignment vertical="center" wrapText="1"/>
    </xf>
    <xf numFmtId="1" fontId="8" fillId="0" borderId="5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3" fontId="8" fillId="0" borderId="6" xfId="0" applyNumberFormat="1" applyFont="1" applyBorder="1" applyAlignment="1">
      <alignment vertical="center" wrapText="1"/>
    </xf>
    <xf numFmtId="9" fontId="8" fillId="0" borderId="6" xfId="3" applyFont="1" applyBorder="1" applyAlignment="1">
      <alignment vertical="center" wrapText="1"/>
    </xf>
    <xf numFmtId="165" fontId="8" fillId="10" borderId="6" xfId="0" applyNumberFormat="1" applyFont="1" applyFill="1" applyBorder="1" applyAlignment="1">
      <alignment vertical="center" wrapText="1"/>
    </xf>
    <xf numFmtId="1" fontId="8" fillId="0" borderId="6" xfId="0" applyNumberFormat="1" applyFont="1" applyBorder="1" applyAlignment="1">
      <alignment vertical="center" wrapText="1"/>
    </xf>
    <xf numFmtId="0" fontId="7" fillId="11" borderId="4" xfId="0" applyFont="1" applyFill="1" applyBorder="1" applyAlignment="1">
      <alignment vertical="center" wrapText="1"/>
    </xf>
    <xf numFmtId="3" fontId="7" fillId="11" borderId="4" xfId="0" applyNumberFormat="1" applyFont="1" applyFill="1" applyBorder="1" applyAlignment="1">
      <alignment vertical="center" wrapText="1"/>
    </xf>
    <xf numFmtId="9" fontId="7" fillId="11" borderId="4" xfId="3" applyFont="1" applyFill="1" applyBorder="1" applyAlignment="1">
      <alignment vertical="center" wrapText="1"/>
    </xf>
    <xf numFmtId="165" fontId="7" fillId="11" borderId="4" xfId="0" applyNumberFormat="1" applyFont="1" applyFill="1" applyBorder="1" applyAlignment="1">
      <alignment vertical="center" wrapText="1"/>
    </xf>
    <xf numFmtId="1" fontId="7" fillId="11" borderId="4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9" fontId="8" fillId="0" borderId="4" xfId="0" applyNumberFormat="1" applyFont="1" applyBorder="1" applyAlignment="1">
      <alignment vertical="center" wrapText="1"/>
    </xf>
    <xf numFmtId="19" fontId="0" fillId="0" borderId="0" xfId="0" applyNumberFormat="1" applyAlignment="1">
      <alignment horizontal="left" indent="1"/>
    </xf>
    <xf numFmtId="0" fontId="0" fillId="0" borderId="0" xfId="0" applyNumberFormat="1"/>
    <xf numFmtId="0" fontId="0" fillId="5" borderId="0" xfId="0" applyNumberFormat="1" applyFill="1"/>
    <xf numFmtId="0" fontId="9" fillId="0" borderId="0" xfId="4"/>
    <xf numFmtId="0" fontId="10" fillId="12" borderId="7" xfId="4" applyFont="1" applyFill="1" applyBorder="1"/>
  </cellXfs>
  <cellStyles count="5">
    <cellStyle name="Comma" xfId="2" builtinId="3"/>
    <cellStyle name="Normal" xfId="0" builtinId="0"/>
    <cellStyle name="Normal 2" xfId="1" xr:uid="{DE8E1A5A-BCC0-424C-8927-E31669159D1A}"/>
    <cellStyle name="Normal 3" xfId="4" xr:uid="{D3C22F84-E9A4-4AD1-9E74-0A5854BDA729}"/>
    <cellStyle name="Percent" xfId="3" builtinId="5"/>
  </cellStyles>
  <dxfs count="105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Analysis.xlsx]Location!PivotTable6</c:name>
    <c:fmtId val="27"/>
  </c:pivotSource>
  <c:chart>
    <c:title>
      <c:tx>
        <c:strRef>
          <c:f>Location!$A$2</c:f>
          <c:strCache>
            <c:ptCount val="1"/>
            <c:pt idx="0">
              <c:v>No of restaurant by district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Location!$A$2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D-4D23-A94A-1365BF13053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6D-4D23-A94A-1365BF13053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6D-4D23-A94A-1365BF1305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6D-4D23-A94A-1365BF13053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6D-4D23-A94A-1365BF130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Location!$A$2</c:f>
              <c:strCache>
                <c:ptCount val="5"/>
                <c:pt idx="0">
                  <c:v>Binh Thanh</c:v>
                </c:pt>
                <c:pt idx="1">
                  <c:v>District 7</c:v>
                </c:pt>
                <c:pt idx="2">
                  <c:v>District 3</c:v>
                </c:pt>
                <c:pt idx="3">
                  <c:v>District 2</c:v>
                </c:pt>
                <c:pt idx="4">
                  <c:v>District 1</c:v>
                </c:pt>
              </c:strCache>
            </c:strRef>
          </c:cat>
          <c:val>
            <c:numRef>
              <c:f>Location!$A$2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14</c:v>
                </c:pt>
                <c:pt idx="3">
                  <c:v>33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6D-4D23-A94A-1365BF130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27004608"/>
        <c:axId val="1726998368"/>
      </c:barChart>
      <c:valAx>
        <c:axId val="1726998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004608"/>
        <c:crosses val="autoZero"/>
        <c:crossBetween val="between"/>
      </c:valAx>
      <c:catAx>
        <c:axId val="172700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98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Analysis.xlsx]Location!PivotTable1</c:name>
    <c:fmtId val="23"/>
  </c:pivotSource>
  <c:chart>
    <c:title>
      <c:tx>
        <c:strRef>
          <c:f>Location!$D$2</c:f>
          <c:strCache>
            <c:ptCount val="1"/>
            <c:pt idx="0">
              <c:v>No of review by district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84915194939339E-2"/>
              <c:y val="2.03745517693653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283025878631863E-2"/>
              <c:y val="1.248460639206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283025878631863E-2"/>
              <c:y val="1.248460639206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84915194939339E-2"/>
              <c:y val="2.03745517693653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0283025878631863E-2"/>
              <c:y val="1.2484606392064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84915194939339E-2"/>
              <c:y val="2.03745517693653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Location!$D$2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71-48D9-92EF-DDCEC953B0B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71-48D9-92EF-DDCEC953B0B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71-48D9-92EF-DDCEC953B0B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71-48D9-92EF-DDCEC953B0B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71-48D9-92EF-DDCEC953B0B0}"/>
              </c:ext>
            </c:extLst>
          </c:dPt>
          <c:dLbls>
            <c:dLbl>
              <c:idx val="0"/>
              <c:layout>
                <c:manualLayout>
                  <c:x val="1.0283025878631863E-2"/>
                  <c:y val="1.2484606392064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71-48D9-92EF-DDCEC953B0B0}"/>
                </c:ext>
              </c:extLst>
            </c:dLbl>
            <c:dLbl>
              <c:idx val="1"/>
              <c:layout>
                <c:manualLayout>
                  <c:x val="-3.984915194939339E-2"/>
                  <c:y val="2.03745517693653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71-48D9-92EF-DDCEC953B0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Location!$D$2</c:f>
              <c:strCache>
                <c:ptCount val="5"/>
                <c:pt idx="0">
                  <c:v>Binh Thanh</c:v>
                </c:pt>
                <c:pt idx="1">
                  <c:v>District 7</c:v>
                </c:pt>
                <c:pt idx="2">
                  <c:v>District 3</c:v>
                </c:pt>
                <c:pt idx="3">
                  <c:v>District 2</c:v>
                </c:pt>
                <c:pt idx="4">
                  <c:v>District 1</c:v>
                </c:pt>
              </c:strCache>
            </c:strRef>
          </c:cat>
          <c:val>
            <c:numRef>
              <c:f>Location!$D$2</c:f>
              <c:numCache>
                <c:formatCode>0.00%</c:formatCode>
                <c:ptCount val="5"/>
                <c:pt idx="0">
                  <c:v>9.3107706603738974E-3</c:v>
                </c:pt>
                <c:pt idx="1">
                  <c:v>2.9148886742391824E-2</c:v>
                </c:pt>
                <c:pt idx="2">
                  <c:v>8.5080758555760694E-2</c:v>
                </c:pt>
                <c:pt idx="3">
                  <c:v>9.0154914595229077E-2</c:v>
                </c:pt>
                <c:pt idx="4">
                  <c:v>0.78630466944624455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71-48D9-92EF-DDCEC953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6904288"/>
        <c:axId val="1726889888"/>
      </c:barChart>
      <c:valAx>
        <c:axId val="1726889888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726904288"/>
        <c:crosses val="autoZero"/>
        <c:crossBetween val="between"/>
      </c:valAx>
      <c:catAx>
        <c:axId val="1726904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8988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Location!$G$2</c:f>
          <c:strCache>
            <c:ptCount val="1"/>
            <c:pt idx="0">
              <c:v>Review per restaurant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Location!$H$4</c:f>
              <c:strCache>
                <c:ptCount val="1"/>
                <c:pt idx="0">
                  <c:v>Total district restaurant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Location!$G$5:$G$9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Location!$H$5:$H$9</c:f>
              <c:numCache>
                <c:formatCode>General</c:formatCode>
                <c:ptCount val="5"/>
                <c:pt idx="0">
                  <c:v>73</c:v>
                </c:pt>
                <c:pt idx="1">
                  <c:v>33</c:v>
                </c:pt>
                <c:pt idx="2">
                  <c:v>14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4-4F55-9E93-57A9BB1F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251696"/>
        <c:axId val="1843253136"/>
      </c:barChart>
      <c:lineChart>
        <c:grouping val="standard"/>
        <c:varyColors val="0"/>
        <c:ser>
          <c:idx val="2"/>
          <c:order val="1"/>
          <c:tx>
            <c:strRef>
              <c:f>Location!$J$4</c:f>
              <c:strCache>
                <c:ptCount val="1"/>
                <c:pt idx="0">
                  <c:v>No of review per restaurant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Location!$G$5:$G$8</c:f>
              <c:strCache>
                <c:ptCount val="4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</c:strCache>
            </c:strRef>
          </c:cat>
          <c:val>
            <c:numRef>
              <c:f>Location!$J$5:$J$9</c:f>
              <c:numCache>
                <c:formatCode>0.0</c:formatCode>
                <c:ptCount val="5"/>
                <c:pt idx="0">
                  <c:v>1761.9041095890411</c:v>
                </c:pt>
                <c:pt idx="1">
                  <c:v>446.87878787878788</c:v>
                </c:pt>
                <c:pt idx="2">
                  <c:v>994.07142857142856</c:v>
                </c:pt>
                <c:pt idx="3">
                  <c:v>397.33333333333331</c:v>
                </c:pt>
                <c:pt idx="4">
                  <c:v>169.22222222222223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4-4F55-9E93-57A9BB1F3815}"/>
            </c:ext>
          </c:extLst>
        </c:ser>
        <c:ser>
          <c:idx val="1"/>
          <c:order val="2"/>
          <c:tx>
            <c:strRef>
              <c:f>Location!$K$4</c:f>
              <c:strCache>
                <c:ptCount val="1"/>
                <c:pt idx="0">
                  <c:v>Average review per restaurant: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A4-4F55-9E93-57A9BB1F38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A4-4F55-9E93-57A9BB1F38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A4-4F55-9E93-57A9BB1F38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A4-4F55-9E93-57A9BB1F3815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A4-4F55-9E93-57A9BB1F3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Location!$K$5:$K$9</c:f>
              <c:numCache>
                <c:formatCode>0.0</c:formatCode>
                <c:ptCount val="5"/>
                <c:pt idx="0">
                  <c:v>1160.0992907801419</c:v>
                </c:pt>
                <c:pt idx="1">
                  <c:v>1160.0992907801419</c:v>
                </c:pt>
                <c:pt idx="2">
                  <c:v>1160.0992907801419</c:v>
                </c:pt>
                <c:pt idx="3">
                  <c:v>1160.0992907801419</c:v>
                </c:pt>
                <c:pt idx="4">
                  <c:v>1160.0992907801419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A4-4F55-9E93-57A9BB1F3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260816"/>
        <c:axId val="1843257936"/>
      </c:lineChart>
      <c:catAx>
        <c:axId val="184325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3136"/>
        <c:crosses val="autoZero"/>
        <c:auto val="1"/>
        <c:lblAlgn val="ctr"/>
        <c:lblOffset val="100"/>
        <c:noMultiLvlLbl val="0"/>
      </c:catAx>
      <c:valAx>
        <c:axId val="18432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1696"/>
        <c:crosses val="autoZero"/>
        <c:crossBetween val="between"/>
      </c:valAx>
      <c:valAx>
        <c:axId val="1843257936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60816"/>
        <c:crosses val="max"/>
        <c:crossBetween val="between"/>
      </c:valAx>
      <c:catAx>
        <c:axId val="1843260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3257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review vs Top 5 restaurant review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Location!$I$4</c:f>
              <c:strCache>
                <c:ptCount val="1"/>
                <c:pt idx="0">
                  <c:v>Total district review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Location!$G$5:$G$9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Location!$I$5:$I$9</c:f>
              <c:numCache>
                <c:formatCode>General</c:formatCode>
                <c:ptCount val="5"/>
                <c:pt idx="0">
                  <c:v>128619</c:v>
                </c:pt>
                <c:pt idx="1">
                  <c:v>14747</c:v>
                </c:pt>
                <c:pt idx="2">
                  <c:v>13917</c:v>
                </c:pt>
                <c:pt idx="3">
                  <c:v>4768</c:v>
                </c:pt>
                <c:pt idx="4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1-4BEB-BC45-ED82FB5781B4}"/>
            </c:ext>
          </c:extLst>
        </c:ser>
        <c:ser>
          <c:idx val="0"/>
          <c:order val="1"/>
          <c:tx>
            <c:strRef>
              <c:f>Location!$M$4</c:f>
              <c:strCache>
                <c:ptCount val="1"/>
                <c:pt idx="0">
                  <c:v>No of review of Top 5 restaurant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Location!$G$5:$G$9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Location!$M$5:$M$8</c:f>
              <c:numCache>
                <c:formatCode>_(* #,##0_);_(* \(#,##0\);_(* "-"??_);_(@_)</c:formatCode>
                <c:ptCount val="4"/>
                <c:pt idx="0">
                  <c:v>55042</c:v>
                </c:pt>
                <c:pt idx="1">
                  <c:v>6625</c:v>
                </c:pt>
                <c:pt idx="2">
                  <c:v>10354</c:v>
                </c:pt>
                <c:pt idx="3">
                  <c:v>3270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1-4BEB-BC45-ED82FB57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43259856"/>
        <c:axId val="1843260336"/>
      </c:barChart>
      <c:lineChart>
        <c:grouping val="standard"/>
        <c:varyColors val="0"/>
        <c:ser>
          <c:idx val="2"/>
          <c:order val="2"/>
          <c:tx>
            <c:strRef>
              <c:f>Location!$N$4</c:f>
              <c:strCache>
                <c:ptCount val="1"/>
                <c:pt idx="0">
                  <c:v>% Top 5 Review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Location!$G$5:$G$8</c:f>
              <c:strCache>
                <c:ptCount val="4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</c:strCache>
            </c:strRef>
          </c:cat>
          <c:val>
            <c:numRef>
              <c:f>Location!$N$5:$N$9</c:f>
              <c:numCache>
                <c:formatCode>0%</c:formatCode>
                <c:ptCount val="5"/>
                <c:pt idx="0">
                  <c:v>0.4279461043858217</c:v>
                </c:pt>
                <c:pt idx="1">
                  <c:v>0.44924391401641012</c:v>
                </c:pt>
                <c:pt idx="2">
                  <c:v>0.74398218006754324</c:v>
                </c:pt>
                <c:pt idx="3">
                  <c:v>0.68582214765100669</c:v>
                </c:pt>
                <c:pt idx="4">
                  <c:v>0.7655942219304005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1-4BEB-BC45-ED82FB57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232496"/>
        <c:axId val="1843232016"/>
      </c:lineChart>
      <c:catAx>
        <c:axId val="18432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60336"/>
        <c:crosses val="autoZero"/>
        <c:auto val="1"/>
        <c:lblAlgn val="ctr"/>
        <c:lblOffset val="100"/>
        <c:noMultiLvlLbl val="0"/>
      </c:catAx>
      <c:valAx>
        <c:axId val="18432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9856"/>
        <c:crosses val="autoZero"/>
        <c:crossBetween val="between"/>
      </c:valAx>
      <c:valAx>
        <c:axId val="184323201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32496"/>
        <c:crosses val="max"/>
        <c:crossBetween val="between"/>
      </c:valAx>
      <c:catAx>
        <c:axId val="1843232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323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Location!$S$2</c:f>
          <c:strCache>
            <c:ptCount val="1"/>
            <c:pt idx="0">
              <c:v>Review per restaurant by ward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Location!$U$4</c:f>
              <c:strCache>
                <c:ptCount val="1"/>
                <c:pt idx="0">
                  <c:v>No of restaurant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Location!$S$5:$T$25</c:f>
              <c:multiLvlStrCache>
                <c:ptCount val="21"/>
                <c:lvl>
                  <c:pt idx="0">
                    <c:v>Ward 17</c:v>
                  </c:pt>
                  <c:pt idx="1">
                    <c:v>Ward 19</c:v>
                  </c:pt>
                  <c:pt idx="2">
                    <c:v>Ward 22</c:v>
                  </c:pt>
                  <c:pt idx="3">
                    <c:v>Bến Nghé</c:v>
                  </c:pt>
                  <c:pt idx="4">
                    <c:v>Bến Thành</c:v>
                  </c:pt>
                  <c:pt idx="5">
                    <c:v>Cầu Ông Lãnh</c:v>
                  </c:pt>
                  <c:pt idx="6">
                    <c:v>Cô Giang</c:v>
                  </c:pt>
                  <c:pt idx="7">
                    <c:v>Đa Kao</c:v>
                  </c:pt>
                  <c:pt idx="8">
                    <c:v>Nguyễn Thái Bình</c:v>
                  </c:pt>
                  <c:pt idx="9">
                    <c:v>Phạm Ngũ Lão</c:v>
                  </c:pt>
                  <c:pt idx="10">
                    <c:v>Tân Định</c:v>
                  </c:pt>
                  <c:pt idx="11">
                    <c:v>Võ Thị Sáu</c:v>
                  </c:pt>
                  <c:pt idx="12">
                    <c:v>Ward 14</c:v>
                  </c:pt>
                  <c:pt idx="13">
                    <c:v>Ward 11</c:v>
                  </c:pt>
                  <c:pt idx="14">
                    <c:v>Ward 12</c:v>
                  </c:pt>
                  <c:pt idx="15">
                    <c:v>Tân Hưng</c:v>
                  </c:pt>
                  <c:pt idx="16">
                    <c:v>Tân Phong</c:v>
                  </c:pt>
                  <c:pt idx="17">
                    <c:v>Tân Phú</c:v>
                  </c:pt>
                  <c:pt idx="18">
                    <c:v>Tân Quy</c:v>
                  </c:pt>
                  <c:pt idx="19">
                    <c:v>Thảo Điền</c:v>
                  </c:pt>
                  <c:pt idx="20">
                    <c:v>An Phú</c:v>
                  </c:pt>
                </c:lvl>
                <c:lvl>
                  <c:pt idx="0">
                    <c:v>Binh Thanh</c:v>
                  </c:pt>
                  <c:pt idx="3">
                    <c:v>District 1</c:v>
                  </c:pt>
                  <c:pt idx="11">
                    <c:v>District 3</c:v>
                  </c:pt>
                  <c:pt idx="15">
                    <c:v>District 7</c:v>
                  </c:pt>
                  <c:pt idx="19">
                    <c:v>District 2</c:v>
                  </c:pt>
                </c:lvl>
              </c:multiLvlStrCache>
            </c:multiLvlStrRef>
          </c:cat>
          <c:val>
            <c:numRef>
              <c:f>Location!$U$5:$U$25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40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13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11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28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42AB-A9CE-32BF3B59F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000736"/>
        <c:axId val="1998001696"/>
      </c:barChart>
      <c:lineChart>
        <c:grouping val="standard"/>
        <c:varyColors val="0"/>
        <c:ser>
          <c:idx val="1"/>
          <c:order val="1"/>
          <c:tx>
            <c:strRef>
              <c:f>Location!$W$4</c:f>
              <c:strCache>
                <c:ptCount val="1"/>
                <c:pt idx="0">
                  <c:v>No of review per restaurant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E5F-42AB-A9CE-32BF3B59FA2E}"/>
                </c:ext>
              </c:extLst>
            </c:dLbl>
            <c:dLbl>
              <c:idx val="4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E5F-42AB-A9CE-32BF3B59FA2E}"/>
                </c:ext>
              </c:extLst>
            </c:dLbl>
            <c:dLbl>
              <c:idx val="8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E5F-42AB-A9CE-32BF3B59FA2E}"/>
                </c:ext>
              </c:extLst>
            </c:dLbl>
            <c:dLbl>
              <c:idx val="9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E5F-42AB-A9CE-32BF3B59FA2E}"/>
                </c:ext>
              </c:extLst>
            </c:dLbl>
            <c:dLbl>
              <c:idx val="10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E5F-42AB-A9CE-32BF3B59FA2E}"/>
                </c:ext>
              </c:extLst>
            </c:dLbl>
            <c:dLbl>
              <c:idx val="11"/>
              <c:numFmt formatCode="#,##0" sourceLinked="0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E5F-42AB-A9CE-32BF3B59FA2E}"/>
                </c:ext>
              </c:extLst>
            </c:dLbl>
            <c:numFmt formatCode="#,##0" sourceLinked="0"/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Location!$S$5:$T$25</c:f>
              <c:multiLvlStrCache>
                <c:ptCount val="21"/>
                <c:lvl>
                  <c:pt idx="0">
                    <c:v>Ward 17</c:v>
                  </c:pt>
                  <c:pt idx="1">
                    <c:v>Ward 19</c:v>
                  </c:pt>
                  <c:pt idx="2">
                    <c:v>Ward 22</c:v>
                  </c:pt>
                  <c:pt idx="3">
                    <c:v>Bến Nghé</c:v>
                  </c:pt>
                  <c:pt idx="4">
                    <c:v>Bến Thành</c:v>
                  </c:pt>
                  <c:pt idx="5">
                    <c:v>Cầu Ông Lãnh</c:v>
                  </c:pt>
                  <c:pt idx="6">
                    <c:v>Cô Giang</c:v>
                  </c:pt>
                  <c:pt idx="7">
                    <c:v>Đa Kao</c:v>
                  </c:pt>
                  <c:pt idx="8">
                    <c:v>Nguyễn Thái Bình</c:v>
                  </c:pt>
                  <c:pt idx="9">
                    <c:v>Phạm Ngũ Lão</c:v>
                  </c:pt>
                  <c:pt idx="10">
                    <c:v>Tân Định</c:v>
                  </c:pt>
                  <c:pt idx="11">
                    <c:v>Võ Thị Sáu</c:v>
                  </c:pt>
                  <c:pt idx="12">
                    <c:v>Ward 14</c:v>
                  </c:pt>
                  <c:pt idx="13">
                    <c:v>Ward 11</c:v>
                  </c:pt>
                  <c:pt idx="14">
                    <c:v>Ward 12</c:v>
                  </c:pt>
                  <c:pt idx="15">
                    <c:v>Tân Hưng</c:v>
                  </c:pt>
                  <c:pt idx="16">
                    <c:v>Tân Phong</c:v>
                  </c:pt>
                  <c:pt idx="17">
                    <c:v>Tân Phú</c:v>
                  </c:pt>
                  <c:pt idx="18">
                    <c:v>Tân Quy</c:v>
                  </c:pt>
                  <c:pt idx="19">
                    <c:v>Thảo Điền</c:v>
                  </c:pt>
                  <c:pt idx="20">
                    <c:v>An Phú</c:v>
                  </c:pt>
                </c:lvl>
                <c:lvl>
                  <c:pt idx="0">
                    <c:v>Binh Thanh</c:v>
                  </c:pt>
                  <c:pt idx="3">
                    <c:v>District 1</c:v>
                  </c:pt>
                  <c:pt idx="11">
                    <c:v>District 3</c:v>
                  </c:pt>
                  <c:pt idx="15">
                    <c:v>District 7</c:v>
                  </c:pt>
                  <c:pt idx="19">
                    <c:v>District 2</c:v>
                  </c:pt>
                </c:lvl>
              </c:multiLvlStrCache>
            </c:multiLvlStrRef>
          </c:cat>
          <c:val>
            <c:numRef>
              <c:f>Location!$W$5:$W$25</c:f>
              <c:numCache>
                <c:formatCode>General</c:formatCode>
                <c:ptCount val="21"/>
                <c:pt idx="0">
                  <c:v>2</c:v>
                </c:pt>
                <c:pt idx="1">
                  <c:v>271</c:v>
                </c:pt>
                <c:pt idx="2">
                  <c:v>55.333333333333336</c:v>
                </c:pt>
                <c:pt idx="3">
                  <c:v>1129.325</c:v>
                </c:pt>
                <c:pt idx="4">
                  <c:v>5389</c:v>
                </c:pt>
                <c:pt idx="5">
                  <c:v>453</c:v>
                </c:pt>
                <c:pt idx="6">
                  <c:v>641</c:v>
                </c:pt>
                <c:pt idx="7">
                  <c:v>697.53846153846155</c:v>
                </c:pt>
                <c:pt idx="8">
                  <c:v>1527</c:v>
                </c:pt>
                <c:pt idx="9">
                  <c:v>4748.833333333333</c:v>
                </c:pt>
                <c:pt idx="10">
                  <c:v>1338</c:v>
                </c:pt>
                <c:pt idx="11">
                  <c:v>1235.4545454545455</c:v>
                </c:pt>
                <c:pt idx="12">
                  <c:v>186</c:v>
                </c:pt>
                <c:pt idx="13">
                  <c:v>90</c:v>
                </c:pt>
                <c:pt idx="14">
                  <c:v>51</c:v>
                </c:pt>
                <c:pt idx="15">
                  <c:v>686</c:v>
                </c:pt>
                <c:pt idx="16">
                  <c:v>512</c:v>
                </c:pt>
                <c:pt idx="17">
                  <c:v>321.60000000000002</c:v>
                </c:pt>
                <c:pt idx="18">
                  <c:v>213</c:v>
                </c:pt>
                <c:pt idx="19">
                  <c:v>481.17857142857144</c:v>
                </c:pt>
                <c:pt idx="20">
                  <c:v>254.8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5F-42AB-A9CE-32BF3B59F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888896"/>
        <c:axId val="1997875936"/>
      </c:lineChart>
      <c:catAx>
        <c:axId val="19980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01696"/>
        <c:crosses val="autoZero"/>
        <c:auto val="1"/>
        <c:lblAlgn val="ctr"/>
        <c:lblOffset val="100"/>
        <c:noMultiLvlLbl val="0"/>
      </c:catAx>
      <c:valAx>
        <c:axId val="19980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000736"/>
        <c:crosses val="autoZero"/>
        <c:crossBetween val="between"/>
      </c:valAx>
      <c:valAx>
        <c:axId val="1997875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88896"/>
        <c:crosses val="max"/>
        <c:crossBetween val="between"/>
      </c:valAx>
      <c:catAx>
        <c:axId val="199788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787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Analysis.xlsx]Price Gap!PivotTable29</c:name>
    <c:fmtId val="38"/>
  </c:pivotSource>
  <c:chart>
    <c:title>
      <c:tx>
        <c:strRef>
          <c:f>'Price Gap'!$A$2</c:f>
          <c:strCache>
            <c:ptCount val="1"/>
            <c:pt idx="0">
              <c:v>Price range share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91551711024562E-3"/>
              <c:y val="-5.16696131523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91551711024562E-3"/>
              <c:y val="-5.16696131523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391551711024562E-3"/>
              <c:y val="-5.166961315232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'Price Gap'!$A$2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E-4DC5-B7B2-B33807D62DB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AE-4DC5-B7B2-B33807D62DB8}"/>
              </c:ext>
            </c:extLst>
          </c:dPt>
          <c:dLbls>
            <c:dLbl>
              <c:idx val="1"/>
              <c:layout>
                <c:manualLayout>
                  <c:x val="-2.6391551711024562E-3"/>
                  <c:y val="-5.1669613152326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AE-4DC5-B7B2-B33807D62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'Price Gap'!$A$2</c:f>
              <c:strCache>
                <c:ptCount val="2"/>
                <c:pt idx="0">
                  <c:v># Listing</c:v>
                </c:pt>
                <c:pt idx="1">
                  <c:v># Reviews</c:v>
                </c:pt>
              </c:strCache>
            </c:strRef>
          </c:cat>
          <c:val>
            <c:numRef>
              <c:f>'Price Gap'!$A$2</c:f>
              <c:numCache>
                <c:formatCode>0.00%</c:formatCode>
                <c:ptCount val="2"/>
                <c:pt idx="0">
                  <c:v>0.15151515151515152</c:v>
                </c:pt>
                <c:pt idx="1">
                  <c:v>3.3984765666769404E-2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E-4DC5-B7B2-B33807D62DB8}"/>
            </c:ext>
          </c:extLst>
        </c:ser>
        <c:ser>
          <c:idx val="1"/>
          <c:order val="1"/>
          <c:tx>
            <c:strRef>
              <c:f>'Price Gap'!$A$2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6AE-4DC5-B7B2-B33807D62DB8}"/>
              </c:ext>
            </c:extLst>
          </c:dPt>
          <c:cat>
            <c:strRef>
              <c:f>'Price Gap'!$A$2</c:f>
              <c:strCache>
                <c:ptCount val="2"/>
                <c:pt idx="0">
                  <c:v># Listing</c:v>
                </c:pt>
                <c:pt idx="1">
                  <c:v># Reviews</c:v>
                </c:pt>
              </c:strCache>
            </c:strRef>
          </c:cat>
          <c:val>
            <c:numRef>
              <c:f>'Price Gap'!$A$2</c:f>
              <c:numCache>
                <c:formatCode>0.00%</c:formatCode>
                <c:ptCount val="2"/>
                <c:pt idx="0">
                  <c:v>0.47727272727272729</c:v>
                </c:pt>
                <c:pt idx="1">
                  <c:v>0.61612247850399104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AE-4DC5-B7B2-B33807D62DB8}"/>
            </c:ext>
          </c:extLst>
        </c:ser>
        <c:ser>
          <c:idx val="2"/>
          <c:order val="2"/>
          <c:tx>
            <c:strRef>
              <c:f>'Price Gap'!$A$2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05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AE-4DC5-B7B2-B33807D62D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'Price Gap'!$A$2</c:f>
              <c:strCache>
                <c:ptCount val="2"/>
                <c:pt idx="0">
                  <c:v># Listing</c:v>
                </c:pt>
                <c:pt idx="1">
                  <c:v># Reviews</c:v>
                </c:pt>
              </c:strCache>
            </c:strRef>
          </c:cat>
          <c:val>
            <c:numRef>
              <c:f>'Price Gap'!$A$2</c:f>
              <c:numCache>
                <c:formatCode>0.00%</c:formatCode>
                <c:ptCount val="2"/>
                <c:pt idx="0">
                  <c:v>0.37121212121212122</c:v>
                </c:pt>
                <c:pt idx="1">
                  <c:v>0.34989275582923962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E-4DC5-B7B2-B33807D6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7935456"/>
        <c:axId val="1997943616"/>
      </c:barChart>
      <c:catAx>
        <c:axId val="199793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43616"/>
        <c:crosses val="autoZero"/>
        <c:auto val="1"/>
        <c:lblAlgn val="ctr"/>
        <c:lblOffset val="100"/>
        <c:noMultiLvlLbl val="0"/>
      </c:catAx>
      <c:valAx>
        <c:axId val="199794361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354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Analysis.xlsx]Price Gap!PivotTable7</c:name>
    <c:fmtId val="15"/>
  </c:pivotSource>
  <c:chart>
    <c:title>
      <c:tx>
        <c:strRef>
          <c:f>'Price Gap'!$F$2</c:f>
          <c:strCache>
            <c:ptCount val="1"/>
            <c:pt idx="0">
              <c:v>Popular price range by district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Gap'!$F$2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'Price Gap'!$F$2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'Price Gap'!$F$2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F-4AD8-B333-89B6C0E0A5CE}"/>
            </c:ext>
          </c:extLst>
        </c:ser>
        <c:ser>
          <c:idx val="1"/>
          <c:order val="1"/>
          <c:tx>
            <c:strRef>
              <c:f>'Price Gap'!$F$2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'Price Gap'!$F$2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'Price Gap'!$F$2</c:f>
              <c:numCache>
                <c:formatCode>General</c:formatCode>
                <c:ptCount val="5"/>
                <c:pt idx="0">
                  <c:v>28</c:v>
                </c:pt>
                <c:pt idx="1">
                  <c:v>17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F-4AD8-B333-89B6C0E0A5CE}"/>
            </c:ext>
          </c:extLst>
        </c:ser>
        <c:ser>
          <c:idx val="2"/>
          <c:order val="2"/>
          <c:tx>
            <c:strRef>
              <c:f>'Price Gap'!$F$2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'Price Gap'!$F$2</c:f>
              <c:strCache>
                <c:ptCount val="5"/>
                <c:pt idx="0">
                  <c:v>District 1</c:v>
                </c:pt>
                <c:pt idx="1">
                  <c:v>District 2</c:v>
                </c:pt>
                <c:pt idx="2">
                  <c:v>District 3</c:v>
                </c:pt>
                <c:pt idx="3">
                  <c:v>District 7</c:v>
                </c:pt>
                <c:pt idx="4">
                  <c:v>Binh Thanh</c:v>
                </c:pt>
              </c:strCache>
            </c:strRef>
          </c:cat>
          <c:val>
            <c:numRef>
              <c:f>'Price Gap'!$F$2</c:f>
              <c:numCache>
                <c:formatCode>General</c:formatCode>
                <c:ptCount val="5"/>
                <c:pt idx="0">
                  <c:v>34</c:v>
                </c:pt>
                <c:pt idx="1">
                  <c:v>10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F-4AD8-B333-89B6C0E0A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154688"/>
        <c:axId val="1829171968"/>
      </c:barChart>
      <c:catAx>
        <c:axId val="182915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171968"/>
        <c:crosses val="autoZero"/>
        <c:auto val="1"/>
        <c:lblAlgn val="ctr"/>
        <c:lblOffset val="100"/>
        <c:noMultiLvlLbl val="0"/>
      </c:catAx>
      <c:valAx>
        <c:axId val="18291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15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Analysis.xlsx]Concept!PivotTable17</c:name>
    <c:fmtId val="5"/>
  </c:pivotSource>
  <c:chart>
    <c:title>
      <c:tx>
        <c:strRef>
          <c:f>Concept!$S$2</c:f>
          <c:strCache>
            <c:ptCount val="1"/>
            <c:pt idx="0">
              <c:v>Restaurant quantity by café options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Concept!$S$2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6-495C-A200-45A0870131E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36-495C-A200-45A087013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Concept!$S$2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Concept!$S$2</c:f>
              <c:numCache>
                <c:formatCode>0.00%</c:formatCode>
                <c:ptCount val="2"/>
                <c:pt idx="0">
                  <c:v>0.78014184397163122</c:v>
                </c:pt>
                <c:pt idx="1">
                  <c:v>0.21985815602836881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F-43B5-8E0A-6A3CD63FC4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Analysis.xlsx]Concept!PivotTable31</c:name>
    <c:fmtId val="14"/>
  </c:pivotSource>
  <c:chart>
    <c:title>
      <c:tx>
        <c:strRef>
          <c:f>Concept!$A$2</c:f>
          <c:strCache>
            <c:ptCount val="1"/>
            <c:pt idx="0">
              <c:v># Restaurant &amp; review by restaurant concept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Concept!$A$2</c:f>
              <c:strCache>
                <c:ptCount val="1"/>
                <c:pt idx="0">
                  <c:v>% reviews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Concept!$A$2</c:f>
              <c:strCache>
                <c:ptCount val="6"/>
                <c:pt idx="0">
                  <c:v>Buffet / hotpot vegetarian</c:v>
                </c:pt>
                <c:pt idx="1">
                  <c:v>Quick-service / noodle / banh mi vegetarian</c:v>
                </c:pt>
                <c:pt idx="2">
                  <c:v>Local Vietnamese vegetarian</c:v>
                </c:pt>
                <c:pt idx="3">
                  <c:v>Vegetarian cafe / light dining</c:v>
                </c:pt>
                <c:pt idx="4">
                  <c:v>Modern vegan / plant-based</c:v>
                </c:pt>
                <c:pt idx="5">
                  <c:v>Vegetarian bistro / casual dining</c:v>
                </c:pt>
              </c:strCache>
            </c:strRef>
          </c:cat>
          <c:val>
            <c:numRef>
              <c:f>Concept!$A$2</c:f>
              <c:numCache>
                <c:formatCode>0.00%</c:formatCode>
                <c:ptCount val="6"/>
                <c:pt idx="0">
                  <c:v>5.0619291574455598E-3</c:v>
                </c:pt>
                <c:pt idx="1">
                  <c:v>0.11900424272806191</c:v>
                </c:pt>
                <c:pt idx="2">
                  <c:v>4.8320637754166312E-2</c:v>
                </c:pt>
                <c:pt idx="3">
                  <c:v>0.13207477961045153</c:v>
                </c:pt>
                <c:pt idx="4">
                  <c:v>0.25407460843410323</c:v>
                </c:pt>
                <c:pt idx="5">
                  <c:v>0.44146380231577148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0-495C-AC38-CB502C2A6F61}"/>
            </c:ext>
          </c:extLst>
        </c:ser>
        <c:ser>
          <c:idx val="1"/>
          <c:order val="1"/>
          <c:tx>
            <c:strRef>
              <c:f>Concept!$A$2</c:f>
              <c:strCache>
                <c:ptCount val="1"/>
                <c:pt idx="0">
                  <c:v>% restaurant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Concept!$A$2</c:f>
              <c:strCache>
                <c:ptCount val="6"/>
                <c:pt idx="0">
                  <c:v>Buffet / hotpot vegetarian</c:v>
                </c:pt>
                <c:pt idx="1">
                  <c:v>Quick-service / noodle / banh mi vegetarian</c:v>
                </c:pt>
                <c:pt idx="2">
                  <c:v>Local Vietnamese vegetarian</c:v>
                </c:pt>
                <c:pt idx="3">
                  <c:v>Vegetarian cafe / light dining</c:v>
                </c:pt>
                <c:pt idx="4">
                  <c:v>Modern vegan / plant-based</c:v>
                </c:pt>
                <c:pt idx="5">
                  <c:v>Vegetarian bistro / casual dining</c:v>
                </c:pt>
              </c:strCache>
            </c:strRef>
          </c:cat>
          <c:val>
            <c:numRef>
              <c:f>Concept!$A$2</c:f>
              <c:numCache>
                <c:formatCode>0.00%</c:formatCode>
                <c:ptCount val="6"/>
                <c:pt idx="0">
                  <c:v>2.1276595744680851E-2</c:v>
                </c:pt>
                <c:pt idx="1">
                  <c:v>4.2553191489361701E-2</c:v>
                </c:pt>
                <c:pt idx="2">
                  <c:v>9.2198581560283682E-2</c:v>
                </c:pt>
                <c:pt idx="3">
                  <c:v>0.21276595744680851</c:v>
                </c:pt>
                <c:pt idx="4">
                  <c:v>0.24113475177304963</c:v>
                </c:pt>
                <c:pt idx="5">
                  <c:v>0.39007092198581561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0-495C-AC38-CB502C2A6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127072"/>
        <c:axId val="1308130912"/>
      </c:barChart>
      <c:catAx>
        <c:axId val="130812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30912"/>
        <c:crosses val="autoZero"/>
        <c:auto val="1"/>
        <c:lblAlgn val="ctr"/>
        <c:lblOffset val="100"/>
        <c:noMultiLvlLbl val="0"/>
      </c:catAx>
      <c:valAx>
        <c:axId val="13081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2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Analysis.xlsx]Concept!PivotTable14</c:name>
    <c:fmtId val="3"/>
  </c:pivotSource>
  <c:chart>
    <c:title>
      <c:tx>
        <c:strRef>
          <c:f>Concept!$M$2</c:f>
          <c:strCache>
            <c:ptCount val="1"/>
            <c:pt idx="0">
              <c:v>Price range distribution by restaurant concept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Concept!$M$2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Concept!$M$2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Concept!$M$2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C-4C12-9EDD-58FF8E7413A8}"/>
            </c:ext>
          </c:extLst>
        </c:ser>
        <c:ser>
          <c:idx val="1"/>
          <c:order val="1"/>
          <c:tx>
            <c:strRef>
              <c:f>Concept!$M$2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Concept!$M$2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Concept!$M$2</c:f>
              <c:numCache>
                <c:formatCode>General</c:formatCode>
                <c:ptCount val="6"/>
                <c:pt idx="0">
                  <c:v>19</c:v>
                </c:pt>
                <c:pt idx="1">
                  <c:v>20</c:v>
                </c:pt>
                <c:pt idx="2">
                  <c:v>14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C-4C12-9EDD-58FF8E7413A8}"/>
            </c:ext>
          </c:extLst>
        </c:ser>
        <c:ser>
          <c:idx val="2"/>
          <c:order val="2"/>
          <c:tx>
            <c:strRef>
              <c:f>Concept!$M$2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Concept!$M$2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Concept!$M$2</c:f>
              <c:numCache>
                <c:formatCode>General</c:formatCode>
                <c:ptCount val="6"/>
                <c:pt idx="0">
                  <c:v>24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C-4C12-9EDD-58FF8E74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195712"/>
        <c:axId val="281619872"/>
      </c:barChart>
      <c:catAx>
        <c:axId val="130819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19872"/>
        <c:crosses val="autoZero"/>
        <c:auto val="1"/>
        <c:lblAlgn val="ctr"/>
        <c:lblOffset val="100"/>
        <c:noMultiLvlLbl val="0"/>
      </c:catAx>
      <c:valAx>
        <c:axId val="2816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Analysis.xlsx]Concept!PivotTable13</c:name>
    <c:fmtId val="12"/>
  </c:pivotSource>
  <c:chart>
    <c:title>
      <c:tx>
        <c:strRef>
          <c:f>Concept!$E$2</c:f>
          <c:strCache>
            <c:ptCount val="1"/>
            <c:pt idx="0">
              <c:v># restaurant per district by restaurant concept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Concept!$E$2</c:f>
              <c:strCache>
                <c:ptCount val="1"/>
                <c:pt idx="0">
                  <c:v>District 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Concept!$E$2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Concept!$E$2</c:f>
              <c:numCache>
                <c:formatCode>General</c:formatCode>
                <c:ptCount val="6"/>
                <c:pt idx="0">
                  <c:v>37</c:v>
                </c:pt>
                <c:pt idx="1">
                  <c:v>12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9-4420-B07B-ECC51AE57CB3}"/>
            </c:ext>
          </c:extLst>
        </c:ser>
        <c:ser>
          <c:idx val="1"/>
          <c:order val="1"/>
          <c:tx>
            <c:strRef>
              <c:f>Concept!$E$2</c:f>
              <c:strCache>
                <c:ptCount val="1"/>
                <c:pt idx="0">
                  <c:v>District 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Concept!$E$2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Concept!$E$2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9-4420-B07B-ECC51AE57CB3}"/>
            </c:ext>
          </c:extLst>
        </c:ser>
        <c:ser>
          <c:idx val="2"/>
          <c:order val="2"/>
          <c:tx>
            <c:strRef>
              <c:f>Concept!$E$2</c:f>
              <c:strCache>
                <c:ptCount val="1"/>
                <c:pt idx="0">
                  <c:v>District 3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Concept!$E$2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Concept!$E$2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9-4420-B07B-ECC51AE57CB3}"/>
            </c:ext>
          </c:extLst>
        </c:ser>
        <c:ser>
          <c:idx val="3"/>
          <c:order val="3"/>
          <c:tx>
            <c:strRef>
              <c:f>Concept!$E$2</c:f>
              <c:strCache>
                <c:ptCount val="1"/>
                <c:pt idx="0">
                  <c:v>District 7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Concept!$E$2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Concept!$E$2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E9-4420-B07B-ECC51AE57CB3}"/>
            </c:ext>
          </c:extLst>
        </c:ser>
        <c:ser>
          <c:idx val="4"/>
          <c:order val="4"/>
          <c:tx>
            <c:strRef>
              <c:f>Concept!$E$2</c:f>
              <c:strCache>
                <c:ptCount val="1"/>
                <c:pt idx="0">
                  <c:v>Binh Thanh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Concept!$E$2</c:f>
              <c:strCache>
                <c:ptCount val="6"/>
                <c:pt idx="0">
                  <c:v>Vegetarian bistro / casual dining</c:v>
                </c:pt>
                <c:pt idx="1">
                  <c:v>Modern vegan / plant-based</c:v>
                </c:pt>
                <c:pt idx="2">
                  <c:v>Vegetarian cafe / light dining</c:v>
                </c:pt>
                <c:pt idx="3">
                  <c:v>Local Vietnamese vegetarian</c:v>
                </c:pt>
                <c:pt idx="4">
                  <c:v>Quick-service / noodle / banh mi vegetarian</c:v>
                </c:pt>
                <c:pt idx="5">
                  <c:v>Buffet / hotpot vegetarian</c:v>
                </c:pt>
              </c:strCache>
            </c:strRef>
          </c:cat>
          <c:val>
            <c:numRef>
              <c:f>Concept!$E$2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E9-4420-B07B-ECC51AE57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9345167"/>
        <c:axId val="289345647"/>
      </c:barChart>
      <c:catAx>
        <c:axId val="28934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45647"/>
        <c:crosses val="autoZero"/>
        <c:auto val="1"/>
        <c:lblAlgn val="ctr"/>
        <c:lblOffset val="100"/>
        <c:noMultiLvlLbl val="0"/>
      </c:catAx>
      <c:valAx>
        <c:axId val="28934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4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Analysis.xlsx]Others!PivotTable5</c:name>
    <c:fmtId val="14"/>
  </c:pivotSource>
  <c:chart>
    <c:title>
      <c:tx>
        <c:strRef>
          <c:f>Others!$A$2</c:f>
          <c:strCache>
            <c:ptCount val="1"/>
            <c:pt idx="0">
              <c:v>Rating vs Number of Reviews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Others!$A$2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Others!$A$2</c:f>
              <c:strCache>
                <c:ptCount val="10"/>
                <c:pt idx="0">
                  <c:v>4.1</c:v>
                </c:pt>
                <c:pt idx="1">
                  <c:v>4.2</c:v>
                </c:pt>
                <c:pt idx="2">
                  <c:v>4.3</c:v>
                </c:pt>
                <c:pt idx="3">
                  <c:v>4.4</c:v>
                </c:pt>
                <c:pt idx="4">
                  <c:v>4.5</c:v>
                </c:pt>
                <c:pt idx="5">
                  <c:v>4.6</c:v>
                </c:pt>
                <c:pt idx="6">
                  <c:v>4.7</c:v>
                </c:pt>
                <c:pt idx="7">
                  <c:v>4.8</c:v>
                </c:pt>
                <c:pt idx="8">
                  <c:v>4.9</c:v>
                </c:pt>
                <c:pt idx="9">
                  <c:v>5</c:v>
                </c:pt>
              </c:strCache>
            </c:strRef>
          </c:cat>
          <c:val>
            <c:numRef>
              <c:f>Others!$A$2</c:f>
              <c:numCache>
                <c:formatCode>General</c:formatCode>
                <c:ptCount val="10"/>
                <c:pt idx="0">
                  <c:v>59</c:v>
                </c:pt>
                <c:pt idx="1">
                  <c:v>276</c:v>
                </c:pt>
                <c:pt idx="2">
                  <c:v>17300</c:v>
                </c:pt>
                <c:pt idx="3">
                  <c:v>8656</c:v>
                </c:pt>
                <c:pt idx="4">
                  <c:v>13614</c:v>
                </c:pt>
                <c:pt idx="5">
                  <c:v>17307</c:v>
                </c:pt>
                <c:pt idx="6">
                  <c:v>11244</c:v>
                </c:pt>
                <c:pt idx="7">
                  <c:v>23928</c:v>
                </c:pt>
                <c:pt idx="8">
                  <c:v>71029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C-4A83-92AE-833DA0E9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214512"/>
        <c:axId val="1865205872"/>
      </c:areaChart>
      <c:catAx>
        <c:axId val="186521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05872"/>
        <c:crosses val="autoZero"/>
        <c:auto val="1"/>
        <c:lblAlgn val="ctr"/>
        <c:lblOffset val="100"/>
        <c:noMultiLvlLbl val="0"/>
      </c:catAx>
      <c:valAx>
        <c:axId val="18652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1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 Chi Minh Vegan Restaurant Analysis.xlsx]Others!PivotTable30</c:name>
    <c:fmtId val="14"/>
  </c:pivotSource>
  <c:chart>
    <c:title>
      <c:tx>
        <c:strRef>
          <c:f>Others!$D$2</c:f>
          <c:strCache>
            <c:ptCount val="1"/>
            <c:pt idx="0">
              <c:v>Restaurant Opening hour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Others!$D$2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3-4913-9CDF-29078EC3F64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C3-4913-9CDF-29078EC3F64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C3-4913-9CDF-29078EC3F644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C3-4913-9CDF-29078EC3F6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Others!$D$2</c:f>
              <c:strCache>
                <c:ptCount val="4"/>
                <c:pt idx="0">
                  <c:v>Morning</c:v>
                </c:pt>
                <c:pt idx="1">
                  <c:v>Lunch</c:v>
                </c:pt>
                <c:pt idx="2">
                  <c:v>Afternoon</c:v>
                </c:pt>
                <c:pt idx="3">
                  <c:v>Night</c:v>
                </c:pt>
              </c:strCache>
            </c:strRef>
          </c:cat>
          <c:val>
            <c:numRef>
              <c:f>Others!$D$2</c:f>
              <c:numCache>
                <c:formatCode>0.00%</c:formatCode>
                <c:ptCount val="4"/>
                <c:pt idx="0">
                  <c:v>0.77011494252873558</c:v>
                </c:pt>
                <c:pt idx="1">
                  <c:v>9.1954022988505746E-2</c:v>
                </c:pt>
                <c:pt idx="2">
                  <c:v>0.11494252873563218</c:v>
                </c:pt>
                <c:pt idx="3">
                  <c:v>2.2988505747126436E-2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C3-4913-9CDF-29078EC3F6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0</xdr:rowOff>
    </xdr:from>
    <xdr:to>
      <xdr:col>1</xdr:col>
      <xdr:colOff>1857376</xdr:colOff>
      <xdr:row>26</xdr:row>
      <xdr:rowOff>146427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1CCCB-B613-40FB-8616-00CDE7009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207836</xdr:colOff>
      <xdr:row>11</xdr:row>
      <xdr:rowOff>4201</xdr:rowOff>
    </xdr:from>
    <xdr:to>
      <xdr:col>5</xdr:col>
      <xdr:colOff>0</xdr:colOff>
      <xdr:row>26</xdr:row>
      <xdr:rowOff>136903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72D23D-8AB4-4FDE-82CA-6DA1AA4C4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10</xdr:col>
      <xdr:colOff>1080579</xdr:colOff>
      <xdr:row>25</xdr:row>
      <xdr:rowOff>114852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EB3BD4-6CC8-4AE6-A65B-936AF4778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1367118</xdr:colOff>
      <xdr:row>11</xdr:row>
      <xdr:rowOff>0</xdr:rowOff>
    </xdr:from>
    <xdr:to>
      <xdr:col>14</xdr:col>
      <xdr:colOff>0</xdr:colOff>
      <xdr:row>25</xdr:row>
      <xdr:rowOff>114852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A24498-CC82-4947-BE05-FDA1A8E16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26</xdr:row>
      <xdr:rowOff>0</xdr:rowOff>
    </xdr:from>
    <xdr:to>
      <xdr:col>23</xdr:col>
      <xdr:colOff>11205</xdr:colOff>
      <xdr:row>47</xdr:row>
      <xdr:rowOff>135300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57E3D8-482B-4DC4-9880-D63F7469A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4</xdr:col>
      <xdr:colOff>19050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45D1E-C37B-44E1-A0B8-EEB8965AC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8</xdr:col>
      <xdr:colOff>228600</xdr:colOff>
      <xdr:row>25</xdr:row>
      <xdr:rowOff>149592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BE6F1-63A6-40E7-9D81-A42F52D0D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16808</xdr:colOff>
      <xdr:row>13</xdr:row>
      <xdr:rowOff>68355</xdr:rowOff>
    </xdr:from>
    <xdr:to>
      <xdr:col>20</xdr:col>
      <xdr:colOff>22412</xdr:colOff>
      <xdr:row>29</xdr:row>
      <xdr:rowOff>78441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C11B79-D85D-552F-2D8E-D4BEBC6D5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11077</xdr:colOff>
      <xdr:row>17</xdr:row>
      <xdr:rowOff>7307</xdr:rowOff>
    </xdr:from>
    <xdr:to>
      <xdr:col>2</xdr:col>
      <xdr:colOff>808518</xdr:colOff>
      <xdr:row>37</xdr:row>
      <xdr:rowOff>33226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09279E0-FF17-D727-8508-FE3E23DE7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17720</xdr:colOff>
      <xdr:row>16</xdr:row>
      <xdr:rowOff>166134</xdr:rowOff>
    </xdr:from>
    <xdr:to>
      <xdr:col>16</xdr:col>
      <xdr:colOff>742063</xdr:colOff>
      <xdr:row>37</xdr:row>
      <xdr:rowOff>22151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1FD102-07AD-5D5B-25A1-FD0A8CAEC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12182</xdr:colOff>
      <xdr:row>16</xdr:row>
      <xdr:rowOff>188284</xdr:rowOff>
    </xdr:from>
    <xdr:to>
      <xdr:col>10</xdr:col>
      <xdr:colOff>742064</xdr:colOff>
      <xdr:row>48</xdr:row>
      <xdr:rowOff>66454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0A7D1EF-F35C-32B0-0EB4-658CDECD2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2</xdr:col>
      <xdr:colOff>9525</xdr:colOff>
      <xdr:row>33</xdr:row>
      <xdr:rowOff>172002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A1FA7-6667-400C-B82A-084FB92A5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1435157</xdr:colOff>
      <xdr:row>35</xdr:row>
      <xdr:rowOff>132701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24E27E-81D6-4B20-B8B7-3007EF3CE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HCMC_Vegan_Location_Scoring_Model_Formula.xlsx" TargetMode="External"/><Relationship Id="rId2" Type="http://schemas.openxmlformats.org/officeDocument/2006/relationships/externalLinkPath" Target="file:///C:\Users\hp\Downloads\HCMC_Vegan_Location_Scoring_Model_Formula.xlsx" TargetMode="External"/><Relationship Id="rId1" Type="http://schemas.openxmlformats.org/officeDocument/2006/relationships/externalLinkPath" Target="/Users/hp/Downloads/HCMC_Vegan_Location_Scoring_Model_Formu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Scenario Weights"/>
      <sheetName val="Input Metrics"/>
      <sheetName val="Scoring Model"/>
      <sheetName val="Factor Logic"/>
    </sheetNames>
    <sheetDataSet>
      <sheetData sheetId="0"/>
      <sheetData sheetId="1"/>
      <sheetData sheetId="2">
        <row r="10">
          <cell r="A10" t="str">
            <v>Medium</v>
          </cell>
          <cell r="B10" t="str">
            <v>District 1</v>
          </cell>
          <cell r="J10">
            <v>90</v>
          </cell>
          <cell r="K10">
            <v>80</v>
          </cell>
        </row>
        <row r="11">
          <cell r="A11" t="str">
            <v>Medium</v>
          </cell>
          <cell r="B11" t="str">
            <v>District 2</v>
          </cell>
          <cell r="J11">
            <v>95</v>
          </cell>
          <cell r="K11">
            <v>70</v>
          </cell>
        </row>
        <row r="12">
          <cell r="A12" t="str">
            <v>Medium</v>
          </cell>
          <cell r="B12" t="str">
            <v>District 3</v>
          </cell>
          <cell r="J12">
            <v>75</v>
          </cell>
          <cell r="K12">
            <v>90</v>
          </cell>
        </row>
        <row r="13">
          <cell r="A13" t="str">
            <v>Medium</v>
          </cell>
          <cell r="B13" t="str">
            <v>District 7</v>
          </cell>
          <cell r="J13">
            <v>85</v>
          </cell>
          <cell r="K13">
            <v>90</v>
          </cell>
        </row>
        <row r="14">
          <cell r="A14" t="str">
            <v>Medium</v>
          </cell>
          <cell r="B14" t="str">
            <v>Binh Thanh</v>
          </cell>
          <cell r="J14">
            <v>80</v>
          </cell>
          <cell r="K14">
            <v>85</v>
          </cell>
        </row>
        <row r="15">
          <cell r="A15" t="str">
            <v>Premium</v>
          </cell>
          <cell r="B15" t="str">
            <v>District 1</v>
          </cell>
          <cell r="J15">
            <v>90</v>
          </cell>
          <cell r="K15">
            <v>92</v>
          </cell>
        </row>
        <row r="16">
          <cell r="A16" t="str">
            <v>Premium</v>
          </cell>
          <cell r="B16" t="str">
            <v>District 2</v>
          </cell>
          <cell r="J16">
            <v>95</v>
          </cell>
          <cell r="K16">
            <v>92</v>
          </cell>
        </row>
        <row r="17">
          <cell r="A17" t="str">
            <v>Premium</v>
          </cell>
          <cell r="B17" t="str">
            <v>District 3</v>
          </cell>
          <cell r="J17">
            <v>55</v>
          </cell>
          <cell r="K17">
            <v>85</v>
          </cell>
        </row>
        <row r="18">
          <cell r="A18" t="str">
            <v>Premium</v>
          </cell>
          <cell r="B18" t="str">
            <v>District 7</v>
          </cell>
          <cell r="J18">
            <v>75</v>
          </cell>
          <cell r="K18">
            <v>80</v>
          </cell>
        </row>
        <row r="19">
          <cell r="A19" t="str">
            <v>Premium</v>
          </cell>
          <cell r="B19" t="str">
            <v>Binh Thanh</v>
          </cell>
          <cell r="J19">
            <v>65</v>
          </cell>
          <cell r="K19">
            <v>30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2.416098495371" createdVersion="8" refreshedVersion="8" minRefreshableVersion="3" recordCount="141" xr:uid="{7407DBBD-8E99-4653-936B-0FBAD154A034}">
  <cacheSource type="worksheet">
    <worksheetSource name="Cleaned_Table"/>
  </cacheSource>
  <cacheFields count="22">
    <cacheField name="Link" numFmtId="0">
      <sharedItems longText="1"/>
    </cacheField>
    <cacheField name="Restaurant_name" numFmtId="0">
      <sharedItems/>
    </cacheField>
    <cacheField name="Review_score" numFmtId="0">
      <sharedItems containsSemiMixedTypes="0" containsString="0" containsNumber="1" minValue="3" maxValue="5" count="14">
        <n v="4.9000000000000004"/>
        <n v="4.3"/>
        <n v="4.4000000000000004"/>
        <n v="4.5999999999999996"/>
        <n v="4.8"/>
        <n v="4.5"/>
        <n v="4.7"/>
        <n v="5"/>
        <n v="4.0999999999999996"/>
        <n v="4.2"/>
        <n v="4" u="1"/>
        <n v="3" u="1"/>
        <n v="3.2" u="1"/>
        <n v="3.7" u="1"/>
      </sharedItems>
    </cacheField>
    <cacheField name="No_of_reviews" numFmtId="0">
      <sharedItems containsSemiMixedTypes="0" containsString="0" containsNumber="1" containsInteger="1" minValue="2" maxValue="19105"/>
    </cacheField>
    <cacheField name="Price_range" numFmtId="0">
      <sharedItems/>
    </cacheField>
    <cacheField name="Open_time" numFmtId="164">
      <sharedItems containsNonDate="0" containsDate="1" containsString="0" containsBlank="1" minDate="1899-12-30T07:30:00" maxDate="1899-12-30T18:00:00" count="16">
        <d v="1899-12-30T10:00:00"/>
        <m/>
        <d v="1899-12-30T10:30:00"/>
        <d v="1899-12-30T08:00:00"/>
        <d v="1899-12-30T09:30:00"/>
        <d v="1899-12-30T09:00:00"/>
        <d v="1899-12-30T08:30:00"/>
        <d v="1899-12-30T17:30:00"/>
        <d v="1899-12-30T11:00:00"/>
        <d v="1899-12-30T18:00:00"/>
        <d v="1899-12-30T17:00:00"/>
        <d v="1899-12-30T16:00:00"/>
        <d v="1899-12-30T07:45:00"/>
        <d v="1899-12-30T07:30:00"/>
        <d v="1899-12-30T16:30:00"/>
        <d v="1899-12-30T11:30:00"/>
      </sharedItems>
      <fieldGroup par="21"/>
    </cacheField>
    <cacheField name="Review" numFmtId="0">
      <sharedItems/>
    </cacheField>
    <cacheField name="Address" numFmtId="0">
      <sharedItems/>
    </cacheField>
    <cacheField name="District classification.Latitude" numFmtId="0">
      <sharedItems containsSemiMixedTypes="0" containsString="0" containsNumber="1" minValue="10.718044799999999" maxValue="10.8120476"/>
    </cacheField>
    <cacheField name="District classification.Longitude" numFmtId="0">
      <sharedItems containsSemiMixedTypes="0" containsString="0" containsNumber="1" minValue="106.671357" maxValue="106.753609"/>
    </cacheField>
    <cacheField name="District" numFmtId="0">
      <sharedItems containsBlank="1" count="7">
        <s v="District 1"/>
        <s v="Binh Thanh"/>
        <s v="District 3"/>
        <s v="District 2"/>
        <s v="District 7"/>
        <m u="1"/>
        <s v="District 2 / Thu Duc City" u="1"/>
      </sharedItems>
    </cacheField>
    <cacheField name="Ward" numFmtId="0">
      <sharedItems containsBlank="1" count="28">
        <s v="Bến Thành"/>
        <s v="Phạm Ngũ Lão"/>
        <s v="Bến Nghé"/>
        <s v="Tân Định"/>
        <s v="Nguyễn Thái Bình"/>
        <s v="Đa Kao"/>
        <s v="Cô Giang"/>
        <s v="Cầu Ông Lãnh"/>
        <s v="Ward 19"/>
        <s v="Ward 22"/>
        <s v="Ward 17"/>
        <s v="Võ Thị Sáu"/>
        <s v="Ward 14"/>
        <s v="Ward 11"/>
        <s v="Ward 12"/>
        <s v="Thảo Điền"/>
        <s v="An Phú"/>
        <s v="Tân Phong"/>
        <s v="Tân Phú"/>
        <s v="Tân Hưng"/>
        <s v="Tân Quy"/>
        <s v="Ward 1" u="1"/>
        <s v="An Khánh" u="1"/>
        <s v="Bình Thuận" u="1"/>
        <s v="Phú Mỹ" u="1"/>
        <m u="1"/>
        <s v="Ward 5" u="1"/>
        <s v="Ward 11/12" u="1"/>
      </sharedItems>
    </cacheField>
    <cacheField name="Price_bucket" numFmtId="0">
      <sharedItems count="4">
        <s v="Medium"/>
        <s v="Premium"/>
        <s v="Low"/>
        <s v="No data"/>
      </sharedItems>
    </cacheField>
    <cacheField name="Time_bucket" numFmtId="0">
      <sharedItems count="5">
        <s v="Morning"/>
        <s v="No data"/>
        <s v="Afternoon"/>
        <s v="Lunch"/>
        <s v="Night"/>
      </sharedItems>
    </cacheField>
    <cacheField name="Rank" numFmtId="0">
      <sharedItems containsSemiMixedTypes="0" containsString="0" containsNumber="1" containsInteger="1" minValue="1" maxValue="95" count="95">
        <n v="1"/>
        <n v="2"/>
        <n v="3"/>
        <n v="4"/>
        <n v="7"/>
        <n v="8"/>
        <n v="9"/>
        <n v="10"/>
        <n v="11"/>
        <n v="12"/>
        <n v="13"/>
        <n v="14"/>
        <n v="15"/>
        <n v="16"/>
        <n v="17"/>
        <n v="19"/>
        <n v="21"/>
        <n v="22"/>
        <n v="23"/>
        <n v="24"/>
        <n v="25"/>
        <n v="26"/>
        <n v="28"/>
        <n v="27"/>
        <n v="29"/>
        <n v="30"/>
        <n v="31"/>
        <n v="32"/>
        <n v="33"/>
        <n v="34"/>
        <n v="36"/>
        <n v="37"/>
        <n v="38"/>
        <n v="39"/>
        <n v="40"/>
        <n v="41"/>
        <n v="43"/>
        <n v="44"/>
        <n v="45"/>
        <n v="46"/>
        <n v="47"/>
        <n v="48"/>
        <n v="49"/>
        <n v="50"/>
        <n v="51"/>
        <n v="52"/>
        <n v="53"/>
        <n v="55"/>
        <n v="54"/>
        <n v="56"/>
        <n v="57"/>
        <n v="58"/>
        <n v="59"/>
        <n v="60"/>
        <n v="61"/>
        <n v="62"/>
        <n v="63"/>
        <n v="64"/>
        <n v="65"/>
        <n v="68"/>
        <n v="71"/>
        <n v="73"/>
        <n v="74"/>
        <n v="75"/>
        <n v="77"/>
        <n v="79"/>
        <n v="81"/>
        <n v="86"/>
        <n v="87"/>
        <n v="88"/>
        <n v="89"/>
        <n v="92"/>
        <n v="95"/>
        <n v="5"/>
        <n v="6"/>
        <n v="18"/>
        <n v="20"/>
        <n v="35"/>
        <n v="66" u="1"/>
        <n v="84" u="1"/>
        <n v="42" u="1"/>
        <n v="67" u="1"/>
        <n v="69" u="1"/>
        <n v="70" u="1"/>
        <n v="72" u="1"/>
        <n v="76" u="1"/>
        <n v="78" u="1"/>
        <n v="80" u="1"/>
        <n v="82" u="1"/>
        <n v="83" u="1"/>
        <n v="85" u="1"/>
        <n v="90" u="1"/>
        <n v="91" u="1"/>
        <n v="93" u="1"/>
        <n v="94" u="1"/>
      </sharedItems>
    </cacheField>
    <cacheField name="Category" numFmtId="0">
      <sharedItems count="9">
        <s v="Modern vegan / plant-based"/>
        <s v="Quick-service / noodle / banh mi vegetarian"/>
        <s v="Vegetarian bistro / casual dining"/>
        <s v="Local Vietnamese vegetarian"/>
        <s v="Vegetarian cafe / light dining"/>
        <s v="Buffet / hotpot vegetarian"/>
        <s v="Vietnamese casual dining / vegetarian-friendly" u="1"/>
        <s v="Healthy light dining / vegetarian-friendly" u="1"/>
        <s v="International / specialty vegetarian" u="1"/>
      </sharedItems>
    </cacheField>
    <cacheField name="Local_vs_English" numFmtId="0">
      <sharedItems/>
    </cacheField>
    <cacheField name="Cafe_options" numFmtId="0">
      <sharedItems containsBlank="1" count="3">
        <s v="No"/>
        <s v="Yes"/>
        <m u="1"/>
      </sharedItems>
    </cacheField>
    <cacheField name="Price_bucket_num" numFmtId="0">
      <sharedItems containsSemiMixedTypes="0" containsString="0" containsNumber="1" containsInteger="1" minValue="1" maxValue="3"/>
    </cacheField>
    <cacheField name="Cafe_options_num" numFmtId="0">
      <sharedItems containsSemiMixedTypes="0" containsString="0" containsNumber="1" containsInteger="1" minValue="0" maxValue="1"/>
    </cacheField>
    <cacheField name="Minutes (Open_time)" numFmtId="0" databaseField="0">
      <fieldGroup base="5">
        <rangePr groupBy="minutes" startDate="1899-12-30T07:30:00" endDate="1899-12-30T18:00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Open_time)" numFmtId="0" databaseField="0">
      <fieldGroup base="5">
        <rangePr groupBy="hours" startDate="1899-12-30T07:30:00" endDate="1899-12-30T18:0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https://www.google.com/maps/place/Hoang%E2%80%99s+Kitchen+-Vietnamese+cuisine+%26+Vegan+food/data=!4m7!3m6!1s0x31752f7c28d2133d:0xf4f42c414b22791c!8m2!3d10.774218!4d106.6966059!16s%2Fg%2F11w236c_vf!19sChIJPRPSKHwvdTERHHkiS0Es9PQ?authuser=0&amp;hl=en&amp;rclk=1"/>
    <s v="Hoang’s Kitchen -Vietnamese cuisine &amp; Vegan food"/>
    <x v="0"/>
    <n v="19105"/>
    <s v="₫100–200K"/>
    <x v="0"/>
    <s v="&quot;Delicious and amazing service!&quot;"/>
    <s v="45 Thủ Khoa Huân"/>
    <n v="10.774217999999999"/>
    <n v="106.69660589999999"/>
    <x v="0"/>
    <x v="0"/>
    <x v="0"/>
    <x v="0"/>
    <x v="0"/>
    <x v="0"/>
    <s v="English / international-facing"/>
    <x v="0"/>
    <n v="2"/>
    <n v="0"/>
  </r>
  <r>
    <s v="https://www.google.com/maps/place/Ben+Nghe+Street+Food/data=!4m7!3m6!1s0x31752f38d6d12d4b:0x9a6eb30ab7589d13!8m2!3d10.7773167!4d106.6977562!16s%2Fg%2F11bxgb8ltc!19sChIJSy3R1jgvdTERE51Ytwqzbpo?authuser=0&amp;hl=en&amp;rclk=1"/>
    <s v="Ben Nghe Street Food"/>
    <x v="1"/>
    <n v="12589"/>
    <s v="₫100–200K"/>
    <x v="1"/>
    <s v="&quot;Great location,  large selection of types, both"/>
    <s v="134 Nam Kỳ Khởi Nghĩa"/>
    <n v="10.7773167"/>
    <n v="106.6977562"/>
    <x v="0"/>
    <x v="0"/>
    <x v="0"/>
    <x v="1"/>
    <x v="1"/>
    <x v="1"/>
    <s v="English / international-facing"/>
    <x v="0"/>
    <n v="2"/>
    <n v="0"/>
  </r>
  <r>
    <s v="https://www.google.com/maps/place/De+Tham+Restaurant+-+Vietnamese+cuisine+%26+vegetarian+Food/data=!4m7!3m6!1s0x31752fe948e20f7f:0x5a5f1358daf89ccf!8m2!3d10.7682442!4d106.6936304!16s%2Fg%2F11why8sz0c!19sChIJfw_iSOkvdTERz5z42lgTX1o?authuser=0&amp;hl=en&amp;rclk=1"/>
    <s v="De Tham Restaurant - Vietnamese cuisine &amp; vegetarian Food"/>
    <x v="0"/>
    <n v="11763"/>
    <s v="₫100–200K"/>
    <x v="2"/>
    <s v="&quot;We ordered everything here and the"/>
    <s v="258 Đề Thám"/>
    <n v="10.7682442"/>
    <n v="106.6936304"/>
    <x v="0"/>
    <x v="1"/>
    <x v="0"/>
    <x v="0"/>
    <x v="2"/>
    <x v="2"/>
    <s v="English / international-facing"/>
    <x v="0"/>
    <n v="2"/>
    <n v="0"/>
  </r>
  <r>
    <s v="https://www.google.com/maps/place/Tung%27s+Restaurant+-+Vietnamese+Cuisine+%26+vegetarian+Food/data=!4m7!3m6!1s0x31752f59e15c67e9:0x7a43f830bff40c1!8m2!3d10.7726481!4d106.6964836!16s%2Fg%2F11v_25lpjr!19sChIJ6Wdc4VkvdTERwUD_C4M_pAc?authuser=0&amp;hl=en&amp;rclk=1"/>
    <s v="Tung's Restaurant - Vietnamese Cuisine &amp; vegetarian Food"/>
    <x v="0"/>
    <n v="11585"/>
    <s v="₫100–200K"/>
    <x v="0"/>
    <s v="&quot;The options were perfectly made, best mock beef I ve ever had.&quot;"/>
    <s v="230 Lê Thánh Tôn"/>
    <n v="10.7726481"/>
    <n v="106.69648359999999"/>
    <x v="0"/>
    <x v="1"/>
    <x v="0"/>
    <x v="0"/>
    <x v="3"/>
    <x v="2"/>
    <s v="English / international-facing"/>
    <x v="0"/>
    <n v="2"/>
    <n v="0"/>
  </r>
  <r>
    <s v="https://www.google.com/maps/place/Propaganda+Vietnamese+Bistro/data=!4m7!3m6!1s0x31752f378dabe5db:0x635cd76f30bd0737!8m2!3d10.7787806!4d106.6981583!16s%2Fg%2F1pyqmjd_t!19sChIJ2-WrjTcvdTERNwe9MG_XXGM?authuser=0&amp;hl=en&amp;rclk=1"/>
    <s v="Propaganda Vietnamese Bistro"/>
    <x v="2"/>
    <n v="4565"/>
    <s v="₫200–300K"/>
    <x v="1"/>
    <s v="&quot;Very tasty options and a cute space.&quot;"/>
    <s v="21 Đ. Hàn Thuyên"/>
    <n v="10.778780599999999"/>
    <n v="106.6981583"/>
    <x v="0"/>
    <x v="2"/>
    <x v="1"/>
    <x v="1"/>
    <x v="4"/>
    <x v="2"/>
    <s v="English / international-facing"/>
    <x v="0"/>
    <n v="3"/>
    <n v="0"/>
  </r>
  <r>
    <s v="https://www.google.com/maps/place/Soumaki+-+Your+Healthy+Food+Soulmate+-+L%C3%BD+T%E1%BB%B1+Tr%E1%BB%8Dng/data=!4m7!3m6!1s0x31752fd9351b8d79:0xcee998c37f0eb018!8m2!3d10.7771971!4d106.700107!16s%2Fg%2F11s3vl41pc!19sChIJeY0bNdkvdTERGLAOf8OY6c4?authuser=0&amp;hl=en&amp;rclk=1"/>
    <s v="Soumaki - Your Healthy Food Soulmate - Lý Tự Trọng"/>
    <x v="0"/>
    <n v="3679"/>
    <s v="₫100–200K"/>
    <x v="1"/>
    <s v="&quot;The was so tasty and healthy and it filled me up!&quot;"/>
    <s v="42 Lý Tự Trọng"/>
    <n v="10.7771971"/>
    <n v="106.700107"/>
    <x v="0"/>
    <x v="2"/>
    <x v="0"/>
    <x v="1"/>
    <x v="5"/>
    <x v="0"/>
    <s v="English / international-facing"/>
    <x v="0"/>
    <n v="2"/>
    <n v="0"/>
  </r>
  <r>
    <s v="https://www.google.com/maps/place/Heart+of+Darkness+Craft+Brewery/data=!4m7!3m6!1s0x31752f48f43430cd:0x51c14d0271469c87!8m2!3d10.7798149!4d106.7029294!16s%2Fg%2F11crxw6gy6!19sChIJzTA09EgvdTERh5xGcQJNwVE?authuser=0&amp;hl=en&amp;rclk=1"/>
    <s v="Heart of Darkness Craft Brewery"/>
    <x v="3"/>
    <n v="3635"/>
    <s v="₫200–300K"/>
    <x v="1"/>
    <s v="&quot;Meat-eaters, vegetarians and can all find PLENTY to eat.&quot;"/>
    <s v="31D Lý Tự Trọng"/>
    <n v="10.7798149"/>
    <n v="106.7029294"/>
    <x v="0"/>
    <x v="2"/>
    <x v="1"/>
    <x v="1"/>
    <x v="6"/>
    <x v="2"/>
    <s v="English / international-facing"/>
    <x v="0"/>
    <n v="3"/>
    <n v="0"/>
  </r>
  <r>
    <s v="https://www.google.com/maps/place/Dahi+Handi+Indian+Restaurant/data=!4m7!3m6!1s0x31752f7a7d473e5d:0x1835902d3fa5e1ca!8m2!3d10.7761731!4d106.7048075!16s%2Fg%2F11gl12kgyd!19sChIJXT5HfXovdTERyuGlPy2QNRg?authuser=0&amp;hl=en&amp;rclk=1"/>
    <s v="Dahi Handi Indian Restaurant"/>
    <x v="4"/>
    <n v="3412"/>
    <s v="₫200–300K"/>
    <x v="1"/>
    <s v="&quot;Finger licking good and service with a smile by Johnny.&quot;"/>
    <s v="23 Đông Du"/>
    <n v="10.776173099999999"/>
    <n v="106.7048075"/>
    <x v="0"/>
    <x v="2"/>
    <x v="1"/>
    <x v="1"/>
    <x v="7"/>
    <x v="2"/>
    <s v="English / international-facing"/>
    <x v="0"/>
    <n v="3"/>
    <n v="0"/>
  </r>
  <r>
    <s v="https://www.google.com/maps/place/My+Banh+Mi/data=!4m7!3m6!1s0x31752f481a3d8727:0xf40b76660ec7ebf!8m2!3d10.7791987!4d106.7005186!16s%2Fg%2F11btwr4dq9!19sChIJJ4c9GkgvdTERv37sYGa3QA8?authuser=0&amp;hl=en&amp;rclk=1"/>
    <s v="My Banh Mi"/>
    <x v="3"/>
    <n v="3201"/>
    <s v="₫100–200K"/>
    <x v="1"/>
    <s v="&quot;Excellent with"/>
    <s v="57 Nguyễn Du"/>
    <n v="10.7791987"/>
    <n v="106.7005186"/>
    <x v="0"/>
    <x v="2"/>
    <x v="0"/>
    <x v="1"/>
    <x v="8"/>
    <x v="1"/>
    <s v="English / international-facing"/>
    <x v="0"/>
    <n v="2"/>
    <n v="0"/>
  </r>
  <r>
    <s v="https://www.google.com/maps/place/Poke+Saigon+Ly+Tu+Trong/data=!4m7!3m6!1s0x31752f47f450b265:0xa46f765f0dea01e8!8m2!3d10.7771626!4d106.7001507!16s%2Fg%2F11g020cwyh!19sChIJZbJQ9EcvdTER6AHqDV92b6Q?authuser=0&amp;hl=en&amp;rclk=1"/>
    <s v="Poke Saigon Ly Tu Trong"/>
    <x v="4"/>
    <n v="2821"/>
    <s v="₫100–200K"/>
    <x v="1"/>
    <s v="&quot;Amazing fresh, tasty, nutritious served with a warm welcoming smile.&quot;"/>
    <s v="First floor, 42 Bis Lý Tự Trọng"/>
    <n v="10.7771626"/>
    <n v="106.70015069999999"/>
    <x v="0"/>
    <x v="2"/>
    <x v="0"/>
    <x v="1"/>
    <x v="9"/>
    <x v="0"/>
    <s v="English / international-facing"/>
    <x v="0"/>
    <n v="2"/>
    <n v="0"/>
  </r>
  <r>
    <s v="https://www.google.com/maps/place/Tanishq+Indian+Vegetarian+Restaurant/data=!4m7!3m6!1s0x31752f005cdd2991:0x5e8b095e1f1ff220!8m2!3d10.7719456!4d106.6939273!16s%2Fg%2F11w9kmg0rf!19sChIJkSndXAAvdTERIPIfH14Ji14?authuser=0&amp;hl=en&amp;rclk=1"/>
    <s v="Tanishq Indian Vegetarian Restaurant"/>
    <x v="0"/>
    <n v="2810"/>
    <s v="₫200–300K"/>
    <x v="3"/>
    <s v="&quot;We are and left completely full and happy.&quot;"/>
    <s v="258 Lý Tự Trọng"/>
    <n v="10.7719456"/>
    <n v="106.6939273"/>
    <x v="0"/>
    <x v="1"/>
    <x v="1"/>
    <x v="0"/>
    <x v="10"/>
    <x v="2"/>
    <s v="English / international-facing"/>
    <x v="0"/>
    <n v="3"/>
    <n v="0"/>
  </r>
  <r>
    <s v="https://www.google.com/maps/place/Heal+and+Celeb+Vegan+Restaurant/data=!4m7!3m6!1s0x317529dc13f3f3b9:0xffd3cac3c0af494c!8m2!3d10.793559!4d106.686756!16s%2Fg%2F11t0rzqfyp!19sChIJufPzE9wpdTERTEmvwMPK0_8?authuser=0&amp;hl=en&amp;rclk=1"/>
    <s v="Heal and Celeb Vegan Restaurant"/>
    <x v="0"/>
    <n v="2355"/>
    <s v="₫100–200K"/>
    <x v="4"/>
    <s v="&quot;Every dish was bursting with flavor, showcasing the best of cuisine.&quot;"/>
    <s v="27/1 Nguyễn Văn Nguyễn"/>
    <n v="10.793559"/>
    <n v="106.686756"/>
    <x v="0"/>
    <x v="3"/>
    <x v="0"/>
    <x v="0"/>
    <x v="11"/>
    <x v="0"/>
    <s v="English / international-facing"/>
    <x v="0"/>
    <n v="2"/>
    <n v="0"/>
  </r>
  <r>
    <s v="https://www.google.com/maps/place/Hoa+T%C3%BAc+Saigon/data=!4m7!3m6!1s0x31752f4627907e63:0x228869e80686c24a!8m2!3d10.7785004!4d106.7037745!16s%2Fg%2F11g8bqp8hn!19sChIJY36QJ0YvdTERSsKGBuhpiCI?authuser=0&amp;hl=en&amp;rclk=1"/>
    <s v="Hoa Túc Saigon"/>
    <x v="5"/>
    <n v="2353"/>
    <s v="₫200–300K"/>
    <x v="1"/>
    <s v="&quot;Delicious and the understood what a gluten allergy is.&quot;"/>
    <s v="74/7 Hai Bà Trưng"/>
    <n v="10.7785004"/>
    <n v="106.70377449999999"/>
    <x v="0"/>
    <x v="2"/>
    <x v="1"/>
    <x v="1"/>
    <x v="12"/>
    <x v="2"/>
    <s v="English / international-facing"/>
    <x v="0"/>
    <n v="3"/>
    <n v="0"/>
  </r>
  <r>
    <s v="https://www.google.com/maps/place/Be+An+Vegetarian+Bistro/data=!4m7!3m6!1s0x31752ffbfbe36a49:0x9c10bfad0d4fdd69!8m2!3d10.7733531!4d106.7038615!16s%2Fg%2F11fs2zs_3d!19sChIJSWrj-_svdTERad1PDa2_EJw?authuser=0&amp;hl=en&amp;rclk=1"/>
    <s v="Be An Vegetarian Bistro"/>
    <x v="4"/>
    <n v="2220"/>
    <s v="₫200–300K"/>
    <x v="0"/>
    <s v="&quot;Gorgeous , lovely staff and the most delicious"/>
    <s v="Saigon Garden, 99 Nguyễn Huệ"/>
    <n v="10.7733531"/>
    <n v="106.7038615"/>
    <x v="0"/>
    <x v="4"/>
    <x v="1"/>
    <x v="0"/>
    <x v="13"/>
    <x v="2"/>
    <s v="English / international-facing"/>
    <x v="0"/>
    <n v="3"/>
    <n v="0"/>
  </r>
  <r>
    <s v="https://www.google.com/maps/place/G%C3%A1nh+-+Truly+Vietnamese+Cuisine/data=!4m7!3m6!1s0x31752f4934863955:0xe45e41df1006ad7a!8m2!3d10.77714!4d106.704236!16s%2Fg%2F11bxkpfpjs!19sChIJVTmGNEkvdTEReq0GEN9BXuQ?authuser=0&amp;hl=en&amp;rclk=1"/>
    <s v="Gánh - Truly Vietnamese Cuisine"/>
    <x v="5"/>
    <n v="2197"/>
    <s v="₫200–300K"/>
    <x v="1"/>
    <s v="&quot;Amazing healthy , great music and ambience&quot;"/>
    <s v="91 Hai Bà Trưng"/>
    <n v="10.777139999999999"/>
    <n v="106.70423599999999"/>
    <x v="0"/>
    <x v="2"/>
    <x v="1"/>
    <x v="1"/>
    <x v="14"/>
    <x v="3"/>
    <s v="Mixed local + English-facing"/>
    <x v="0"/>
    <n v="3"/>
    <n v="0"/>
  </r>
  <r>
    <s v="https://www.google.com/maps/place/Au+Parc+Caf%C3%A9/data=!4m7!3m6!1s0x31752f378c9f5bf3:0x7e1388eb0419e27a!8m2!3d10.7787276!4d106.6980638!16s%2Fg%2F1hc2zh7r9!19sChIJ81ufjDcvdTEReuIZBOuIE34?authuser=0&amp;hl=en&amp;rclk=1"/>
    <s v="Au Parc Café"/>
    <x v="5"/>
    <n v="2112"/>
    <s v="₫200–300K"/>
    <x v="1"/>
    <s v="&quot;Very good - clean, healthy and fast for a full fresh meal.&quot;"/>
    <s v="23 Đ. Hàn Thuyên"/>
    <n v="10.7787276"/>
    <n v="106.6980638"/>
    <x v="0"/>
    <x v="2"/>
    <x v="1"/>
    <x v="1"/>
    <x v="15"/>
    <x v="4"/>
    <s v="English / international-facing"/>
    <x v="1"/>
    <n v="3"/>
    <n v="1"/>
  </r>
  <r>
    <s v="https://www.google.com/maps/place/21Grams+Vegetarian/data=!4m7!3m6!1s0x31752f616c7ba2f3:0xf25f36475c2b39b3!8m2!3d10.774103!4d106.7041327!16s%2Fg%2F11ty14p2l3!19sChIJ86J7bGEvdTERszkrXEc2X_I?authuser=0&amp;hl=en&amp;rclk=1"/>
    <s v="21Grams Vegetarian"/>
    <x v="0"/>
    <n v="1857"/>
    <s v="₫100–200K"/>
    <x v="0"/>
    <s v="&quot;All with"/>
    <s v="42 Nguyễn Huệ"/>
    <n v="10.774103"/>
    <n v="106.7041327"/>
    <x v="0"/>
    <x v="2"/>
    <x v="0"/>
    <x v="0"/>
    <x v="16"/>
    <x v="2"/>
    <s v="English / international-facing"/>
    <x v="0"/>
    <n v="2"/>
    <n v="0"/>
  </r>
  <r>
    <s v="https://www.google.com/maps/place/Curry-licious+Indian+Restaurant/data=!4m7!3m6!1s0x31752ff05dc82141:0x8bf6105890ee8927!8m2!3d10.7771121!4d106.7039749!16s%2Fg%2F11x90vs602!19sChIJQSHIXfAvdTERJ4nukFgQ9os?authuser=0&amp;hl=en&amp;rclk=1"/>
    <s v="Curry-licious Indian Restaurant"/>
    <x v="0"/>
    <n v="1815"/>
    <s v="₫200–300K"/>
    <x v="1"/>
    <s v="&quot;We tried vegetarians options and all was awesome.&quot; "/>
    <s v="9 Công trường Lam Sơn"/>
    <n v="10.7771121"/>
    <n v="106.70397490000001"/>
    <x v="0"/>
    <x v="2"/>
    <x v="1"/>
    <x v="1"/>
    <x v="17"/>
    <x v="2"/>
    <s v="English / international-facing"/>
    <x v="0"/>
    <n v="3"/>
    <n v="0"/>
  </r>
  <r>
    <s v="https://www.google.com/maps/place/B%C3%A1nh+M%C3%AC+The+One+%E2%80%93+Vietnamese+Sandwich+%26+Vegan+Food/data=!4m7!3m6!1s0x31752fce14c0893f:0x293d0fc78c33785e!8m2!3d10.7723259!4d106.6945746!16s%2Fg%2F11w2fr19ss!19sChIJP4nAFM4vdTERXngzjMcPPSk?authuser=0&amp;hl=en&amp;rclk=1"/>
    <s v="Bánh Mì The One – Vietnamese Sandwich &amp; Vegan Food"/>
    <x v="0"/>
    <n v="1600"/>
    <s v="₫1–100,000"/>
    <x v="1"/>
    <s v="&quot;Delicious, both and meat options, super friendly staff 🫶🏻&quot;"/>
    <s v="234 Lý Tự Trọng"/>
    <n v="10.7723259"/>
    <n v="106.6945746"/>
    <x v="0"/>
    <x v="1"/>
    <x v="2"/>
    <x v="1"/>
    <x v="18"/>
    <x v="1"/>
    <s v="English / international-facing"/>
    <x v="0"/>
    <n v="1"/>
    <n v="0"/>
  </r>
  <r>
    <s v="https://www.google.com/maps/place/Shamballa+Vegetarian,+Restaurant+%26+Lounge+-+Sai+Gon/data=!4m7!3m6!1s0x31752fabc8d54ad3:0xc175c07deb731e0d!8m2!3d10.7795135!4d106.7026522!16s%2Fg%2F11jvbdshld!19sChIJ00rVyKsvdTERDR5z633AdcE?authuser=0&amp;hl=en&amp;rclk=1"/>
    <s v="Shamballa Vegetarian, Restaurant &amp; Lounge - Sai Gon"/>
    <x v="6"/>
    <n v="1452"/>
    <s v="₫200–300K"/>
    <x v="5"/>
    <s v="&quot;Amazing ambience (sitting outside) and served delicious .&quot;"/>
    <s v="31 Lý Tự Trọng"/>
    <n v="10.7795135"/>
    <n v="106.7026522"/>
    <x v="0"/>
    <x v="2"/>
    <x v="1"/>
    <x v="0"/>
    <x v="19"/>
    <x v="2"/>
    <s v="English / international-facing"/>
    <x v="0"/>
    <n v="3"/>
    <n v="0"/>
  </r>
  <r>
    <s v="https://www.google.com/maps/place/IVEGAN+SUPERSHOP+BEN+THANH+-+HEALTHY+PLANT+BASED+CAFE/data=!4m7!3m6!1s0x317527178384a5e9:0x6bd0b476886d57!8m2!3d10.7716643!4d106.6950738!16s%2Fg%2F11kqq40qrz!19sChIJ6aWEgxcndTERV22IdrTQawA?authuser=0&amp;hl=en&amp;rclk=1"/>
    <s v="IVEGAN SUPERSHOP BEN THANH - HEALTHY PLANT BASED CAFE"/>
    <x v="0"/>
    <n v="1419"/>
    <s v="₫100–200K"/>
    <x v="6"/>
    <s v="&quot;Delicious , cute cozy space and nice staff.&quot;"/>
    <s v="29 Lê Anh Xuân"/>
    <n v="10.771664299999999"/>
    <n v="106.6950738"/>
    <x v="0"/>
    <x v="0"/>
    <x v="0"/>
    <x v="0"/>
    <x v="20"/>
    <x v="4"/>
    <s v="English / international-facing"/>
    <x v="1"/>
    <n v="2"/>
    <n v="1"/>
  </r>
  <r>
    <s v="https://www.google.com/maps/place/Roots+Plant-based+Cafe+-+Ben+Thanh/data=!4m7!3m6!1s0x31752f2c5b5c23f9:0x37dd5beb607c8cff!8m2!3d10.7741206!4d106.6975015!16s%2Fg%2F11xcvlc9qw!19sChIJ-SNcWywvdTER_4x8YOtb3Tc?authuser=0&amp;hl=en&amp;rclk=1"/>
    <s v="Roots Plant-based Cafe - Ben Thanh"/>
    <x v="0"/>
    <n v="1407"/>
    <s v="₫100–200K"/>
    <x v="3"/>
    <s v="&quot;Great in a calm stylish setting.&quot;"/>
    <s v="113-115 Lý Tự Trọng"/>
    <n v="10.7741206"/>
    <n v="106.6975015"/>
    <x v="0"/>
    <x v="0"/>
    <x v="0"/>
    <x v="0"/>
    <x v="21"/>
    <x v="4"/>
    <s v="English / international-facing"/>
    <x v="1"/>
    <n v="2"/>
    <n v="1"/>
  </r>
  <r>
    <s v="https://www.google.com/maps/place/Be+An+Vegetarian+Bistro/data=!4m7!3m6!1s0x31752fc59340bdeb:0xdf3513c4d4fb4ba!8m2!3d10.784419!4d106.697799!16s%2Fg%2F11kjf2bthm!19sChIJ671Ak8UvdTERurRPTTxR8w0?authuser=0&amp;hl=en&amp;rclk=1"/>
    <s v="Be An Vegetarian Bistro"/>
    <x v="4"/>
    <n v="1365"/>
    <s v="₫200–300K"/>
    <x v="1"/>
    <s v="Dine-in Delivery"/>
    <s v="11B Trần Cao Vân"/>
    <n v="10.784419"/>
    <n v="106.697799"/>
    <x v="0"/>
    <x v="5"/>
    <x v="1"/>
    <x v="1"/>
    <x v="22"/>
    <x v="2"/>
    <s v="English / international-facing"/>
    <x v="0"/>
    <n v="3"/>
    <n v="0"/>
  </r>
  <r>
    <s v="https://www.google.com/maps/place/Be+An+Vegetarian+Bistro/data=!4m7!3m6!1s0x31752fc59340bdeb:0xdf3513c4d4fb4ba!8m2!3d10.7844192!4d106.6977993!16s%2Fg%2F11kjf2bthm!19sChIJ671Ak8UvdTERurRPTTxR8w0?authuser=0&amp;hl=en&amp;rclk=1"/>
    <s v="Be An Vegetarian Bistro"/>
    <x v="4"/>
    <n v="1365"/>
    <s v="₫200–300K"/>
    <x v="0"/>
    <s v="&quot;Amazing , calming atmosphere&quot;"/>
    <s v="11B Trần Cao Vân"/>
    <n v="10.7844192"/>
    <n v="106.6977993"/>
    <x v="0"/>
    <x v="5"/>
    <x v="1"/>
    <x v="0"/>
    <x v="23"/>
    <x v="2"/>
    <s v="English / international-facing"/>
    <x v="0"/>
    <n v="3"/>
    <n v="0"/>
  </r>
  <r>
    <s v="https://www.google.com/maps/place/V%E1%BB%8B+Qu%C3%AA+Kitchen/data=!4m7!3m6!1s0x31752fe59e20471f:0x169be80586c609d8!8m2!3d10.7715986!4d106.6885602!16s%2Fg%2F11rg6q_gvv!19sChIJH0cgnuUvdTER2AnGhgXomxY?authuser=0&amp;hl=en&amp;rclk=1"/>
    <s v="Vị Quê Kitchen"/>
    <x v="6"/>
    <n v="1269"/>
    <s v="₫100–200K"/>
    <x v="0"/>
    <s v="&quot;Delicious , amazing drinks, and great atmosphere!&quot;"/>
    <s v="110 Sương Nguyệt Anh"/>
    <n v="10.771598600000001"/>
    <n v="106.6885602"/>
    <x v="0"/>
    <x v="0"/>
    <x v="0"/>
    <x v="0"/>
    <x v="24"/>
    <x v="2"/>
    <s v="English / international-facing"/>
    <x v="0"/>
    <n v="2"/>
    <n v="0"/>
  </r>
  <r>
    <s v="https://www.google.com/maps/place/Prem+%26+Pi+Vegetarian+Bistro+-+since+2013/data=!4m7!3m6!1s0x31752f3b3c7990e9:0xccf0c5443c10be6d!8m2!3d10.786464!4d106.694317!16s%2Fg%2F11b6hqmm49!19sChIJ6ZB5PDsvdTERbb4QPETF8Mw?authuser=0&amp;hl=en&amp;rclk=1"/>
    <s v="Prem &amp; Pi Vegetarian Bistro - since 2013"/>
    <x v="5"/>
    <n v="1242"/>
    <s v="₫200–300K"/>
    <x v="0"/>
    <s v="&quot;Beautiful atmosphere for delicious .&quot;"/>
    <s v="187/15 Điện Biên Phủ"/>
    <n v="10.786464"/>
    <n v="106.694317"/>
    <x v="0"/>
    <x v="5"/>
    <x v="1"/>
    <x v="0"/>
    <x v="25"/>
    <x v="2"/>
    <s v="English / international-facing"/>
    <x v="0"/>
    <n v="3"/>
    <n v="0"/>
  </r>
  <r>
    <s v="https://www.google.com/maps/place/Le+Corto/data=!4m7!3m6!1s0x31752f46183b600f:0x2d05f35baaca375b!8m2!3d10.7778086!4d106.7046515!16s%2Fg%2F11cms299_3!19sChIJD2A7GEYvdTERWzfKqlvzBS0?authuser=0&amp;hl=en&amp;rclk=1"/>
    <s v="Le Corto"/>
    <x v="5"/>
    <n v="1201"/>
    <s v="₫1,000,000+"/>
    <x v="7"/>
    <s v="&quot;Creative presentation, delicious .&quot;"/>
    <s v="5D Nguyễn Siêu"/>
    <n v="10.7778086"/>
    <n v="106.7046515"/>
    <x v="0"/>
    <x v="2"/>
    <x v="3"/>
    <x v="2"/>
    <x v="26"/>
    <x v="2"/>
    <s v="English / international-facing"/>
    <x v="0"/>
    <n v="3"/>
    <n v="0"/>
  </r>
  <r>
    <s v="https://www.google.com/maps/place/San+May+Cafe+%26+Vegetarian+Restaurant/data=!4m7!3m6!1s0x31752f351f00d393:0x2a4665bbd901d58f!8m2!3d10.7889806!4d106.6982583!16s%2Fg%2F1q6h_yzwz!19sChIJk9MAHzUvdTERj9UB2btlRio?authuser=0&amp;hl=en&amp;rclk=1"/>
    <s v="San May Cafe &amp; Vegetarian Restaurant"/>
    <x v="1"/>
    <n v="1061"/>
    <s v="₫100–200K"/>
    <x v="3"/>
    <s v="&quot;Delicious with lots of different and interesting options.&quot;"/>
    <s v="155 Nguyễn Văn Thủ"/>
    <n v="10.7889806"/>
    <n v="106.69825830000001"/>
    <x v="0"/>
    <x v="5"/>
    <x v="0"/>
    <x v="0"/>
    <x v="27"/>
    <x v="4"/>
    <s v="English / international-facing"/>
    <x v="1"/>
    <n v="2"/>
    <n v="1"/>
  </r>
  <r>
    <s v="https://www.google.com/maps/place/N%E1%BA%A5m+-+Vegetarian+Bistro/data=!4m7!3m6!1s0x31752ffe37d3b463:0x31b9b1ae10caf841!8m2!3d10.7888741!4d106.6916512!16s%2Fg%2F11srggl7x8!19sChIJY7TTN_4vdTERQfjKEK6xuTE?authuser=0&amp;hl=en&amp;rclk=1"/>
    <s v="Nấm - Vegetarian Bistro"/>
    <x v="0"/>
    <n v="1025"/>
    <s v="₫100–200K"/>
    <x v="0"/>
    <s v="&quot;Really great , friendly staff and a calm atmosphere&quot;"/>
    <s v="67C Đinh Công Tráng"/>
    <n v="10.788874099999999"/>
    <n v="106.6916512"/>
    <x v="0"/>
    <x v="3"/>
    <x v="0"/>
    <x v="0"/>
    <x v="28"/>
    <x v="2"/>
    <s v="English / international-facing"/>
    <x v="0"/>
    <n v="2"/>
    <n v="0"/>
  </r>
  <r>
    <s v="https://www.google.com/maps/place/S%C3%A0i+G%C3%B2n+Kitchen+Vina/data=!4m7!3m6!1s0x31752fa059f65bd7:0x8e9d22f08651a127!8m2!3d10.778228!4d106.6990193!16s%2Fg%2F11vz3b_sg9!19sChIJ11v2WaAvdTERJ6FRhvAinY4?authuser=0&amp;hl=en&amp;rclk=1"/>
    <s v="Sài Gòn Kitchen Vina"/>
    <x v="6"/>
    <n v="1024"/>
    <s v="₫100–200K"/>
    <x v="1"/>
    <s v="&quot;They have a great menu, good options &amp; friendly staff.&quot;"/>
    <s v="86 Nguyễn Du"/>
    <n v="10.778228"/>
    <n v="106.6990193"/>
    <x v="0"/>
    <x v="0"/>
    <x v="0"/>
    <x v="1"/>
    <x v="29"/>
    <x v="3"/>
    <s v="Mixed local + English-facing"/>
    <x v="0"/>
    <n v="2"/>
    <n v="0"/>
  </r>
  <r>
    <s v="https://www.google.com/maps/place/7+Bridges+Craft+Beer+Taproom+%26+Restaurant+%2F+L%C3%AA+Th%C3%A1nh+T%C3%B4n/data=!4m7!3m6!1s0x31752f5b858ed635:0xf6afab1d3bbba627!8m2!3d10.7802418!4d106.7046589!16s%2Fg%2F11q26lk9hl!19sChIJNdaOhVsvdTERJ6a7Ox2rr_Y?authuser=0&amp;hl=en&amp;rclk=1"/>
    <s v="7 Bridges Craft Beer Taproom &amp; Restaurant / Lê Thánh Tôn"/>
    <x v="3"/>
    <n v="954"/>
    <s v="₫200–300K"/>
    <x v="1"/>
    <s v="&quot;Delicious , friendly service and fun location.&quot;"/>
    <s v="15B/12 Lê Thánh Tôn"/>
    <n v="10.780241800000001"/>
    <n v="106.7046589"/>
    <x v="0"/>
    <x v="2"/>
    <x v="1"/>
    <x v="1"/>
    <x v="30"/>
    <x v="2"/>
    <s v="English / international-facing"/>
    <x v="0"/>
    <n v="3"/>
    <n v="0"/>
  </r>
  <r>
    <s v="https://www.google.com/maps/place/Tib+-+Hue+Restaurant/data=!4m7!3m6!1s0x31752f34773a47e3:0x62842bc6c1157c15!8m2!3d10.7858338!4d106.6942744!16s%2Fg%2F1vpq4c2m!19sChIJ40c6dzQvdTERFXwVwcYrhGI?authuser=0&amp;hl=en&amp;rclk=1"/>
    <s v="Tib - Hue Restaurant"/>
    <x v="1"/>
    <n v="916"/>
    <s v="$$"/>
    <x v="8"/>
    <s v="&quot;Amazing place in folk style, found a delicious menu, recommend&quot;"/>
    <s v="187 Ter Hai Bà Trưng"/>
    <n v="10.785833800000001"/>
    <n v="106.6942744"/>
    <x v="0"/>
    <x v="5"/>
    <x v="3"/>
    <x v="3"/>
    <x v="31"/>
    <x v="2"/>
    <s v="English / international-facing"/>
    <x v="0"/>
    <n v="3"/>
    <n v="0"/>
  </r>
  <r>
    <s v="https://www.google.com/maps/place/La+Moi+plant-based+Restaurant/data=!4m7!3m6!1s0x31752fb36bbd2f47:0x35c6b390bd1bdfcf!8m2!3d10.778431!4d106.699046!16s%2Fg%2F11k4qvqc29!19sChIJRy-9a7MvdTERz98bvZCzxjU?authuser=0&amp;hl=en&amp;rclk=1"/>
    <s v="La Moi plant-based Restaurant"/>
    <x v="6"/>
    <n v="910"/>
    <s v="₫200–300K"/>
    <x v="3"/>
    <s v="&quot;The Pad Thai was a flavor explosion, setting a high bar for cuisine.&quot;"/>
    <s v="84 Nguyễn Du"/>
    <n v="10.778430999999999"/>
    <n v="106.699046"/>
    <x v="0"/>
    <x v="0"/>
    <x v="1"/>
    <x v="0"/>
    <x v="32"/>
    <x v="0"/>
    <s v="English / international-facing"/>
    <x v="0"/>
    <n v="3"/>
    <n v="0"/>
  </r>
  <r>
    <s v="https://www.google.com/maps/place/Li+Bai+Authentic+Cantonese+Restaurant/data=!4m7!3m6!1s0x31752f91eed42415:0xa178e41d3c672dda!8m2!3d10.7757259!4d106.703781!16s%2Fg%2F11sm70dxh6!19sChIJFSTU7pEvdTER2i1nPB3keKE?authuser=0&amp;hl=en&amp;rclk=1"/>
    <s v="Li Bai Authentic Cantonese Restaurant"/>
    <x v="4"/>
    <n v="882"/>
    <s v="₫1,000,000+"/>
    <x v="9"/>
    <s v="&quot;Not only the was delicious, I was surprised by the attentive staff.&quot;"/>
    <s v="Sheraton Saigon Grand Opera Hotel, 88 Đồng Khởi"/>
    <n v="10.775725899999999"/>
    <n v="106.70378100000001"/>
    <x v="0"/>
    <x v="2"/>
    <x v="3"/>
    <x v="4"/>
    <x v="33"/>
    <x v="2"/>
    <s v="English / international-facing"/>
    <x v="0"/>
    <n v="3"/>
    <n v="0"/>
  </r>
  <r>
    <s v="https://www.google.com/maps/place/Bon%E2%80%99s+Vegan+Bistro+-+B%C3%A1nh+M%C3%AC+%26+Coffee/data=!4m7!3m6!1s0x31752fac15ce84d1:0xb3ae51a8927c2cb!8m2!3d10.7702529!4d106.7020348!16s%2Fg%2F11j72t29ws!19sChIJ0YTOFawvdTERy8IniRrlOgs?authuser=0&amp;hl=en&amp;rclk=1"/>
    <s v="Bon’s Vegan Bistro - Bánh Mì &amp; Coffee"/>
    <x v="0"/>
    <n v="834"/>
    <s v="₫100–200K"/>
    <x v="3"/>
    <s v="&quot;Delicious , the loveliest service and a beautiful environment.&quot;"/>
    <s v="89/8 Hàm Nghi"/>
    <n v="10.770252899999999"/>
    <n v="106.70203480000001"/>
    <x v="0"/>
    <x v="4"/>
    <x v="0"/>
    <x v="0"/>
    <x v="34"/>
    <x v="1"/>
    <s v="English / international-facing"/>
    <x v="1"/>
    <n v="2"/>
    <n v="1"/>
  </r>
  <r>
    <s v="https://www.google.com/maps/place/Nh%C3%A0+h%C3%A0ng+thu%E1%BA%A7n+chay+Ngon+Vegan+Dining+%26+Cafe+-+Tr%E1%BA%A7n+Cao+V%C3%A2n/data=!4m7!3m6!1s0x31752f005f2a10c3:0xe910019d74900f91!8m2!3d10.7844858!4d106.6975065!16s%2Fg%2F11yb67g06h!19sChIJwxAqXwAvdTERkQ-QdJ0BEOk?authuser=0&amp;hl=en&amp;rclk=1"/>
    <s v="Nhà hàng thuần chay Ngon Vegan Dining &amp; Cafe - Trần Cao Vân"/>
    <x v="4"/>
    <n v="809"/>
    <s v="₫100–200K"/>
    <x v="0"/>
    <s v="&quot;Great , a really cozy atmosphere, and very generous portions.&quot;"/>
    <s v="16 Trần Cao Vân"/>
    <n v="10.784485800000001"/>
    <n v="106.6975065"/>
    <x v="0"/>
    <x v="5"/>
    <x v="0"/>
    <x v="0"/>
    <x v="35"/>
    <x v="4"/>
    <s v="Mixed local + English-facing"/>
    <x v="1"/>
    <n v="2"/>
    <n v="1"/>
  </r>
  <r>
    <s v="https://www.google.com/maps/place/LuLi%E2%80%99s+Kitchen+-+District+1/data=!4m7!3m6!1s0x3175273ff56582c7:0xdd300353ed536440!8m2!3d10.7785192!4d106.6981803!16s%2Fg%2F11y1hqb5vt!19sChIJx4Jl9T8ndTERQGRT7VMDMN0?authuser=0&amp;hl=en&amp;rclk=1"/>
    <s v="LuLi’s Kitchen - District 1"/>
    <x v="0"/>
    <n v="755"/>
    <s v="₫100–200K"/>
    <x v="1"/>
    <s v="&quot;Very accommodating for my gluten free needs too.&quot;"/>
    <s v="Pasteur/182A Ward"/>
    <n v="10.7785192"/>
    <n v="106.6981803"/>
    <x v="0"/>
    <x v="2"/>
    <x v="0"/>
    <x v="1"/>
    <x v="36"/>
    <x v="3"/>
    <s v="Mixed local + English-facing"/>
    <x v="0"/>
    <n v="2"/>
    <n v="0"/>
  </r>
  <r>
    <s v="https://www.google.com/maps/place/Lim+Veggie+Bistro/data=!4m7!3m6!1s0x317529bb1656f27d:0xc74b19bde30c8bc0!8m2!3d10.7810504!4d106.7061501!16s%2Fg%2F11kb92ssq9!19sChIJffJWFrspdTERwIsM470ZS8c?authuser=0&amp;hl=en&amp;rclk=1"/>
    <s v="Lim Veggie Bistro"/>
    <x v="0"/>
    <n v="664"/>
    <s v="₫100–200K"/>
    <x v="5"/>
    <s v="&quot;Exceptional and atmosphere.&quot;"/>
    <s v="07 Ngô Văn Năm"/>
    <n v="10.7810504"/>
    <n v="106.7061501"/>
    <x v="0"/>
    <x v="2"/>
    <x v="0"/>
    <x v="0"/>
    <x v="37"/>
    <x v="2"/>
    <s v="English / international-facing"/>
    <x v="0"/>
    <n v="2"/>
    <n v="0"/>
  </r>
  <r>
    <s v="https://www.google.com/maps/place/M%C3%8A+RAU+Vegetarian+-+Buffet+L%E1%BA%A9u+Rau+N%E1%BA%A5m/data=!4m7!3m6!1s0x31752f0001fe0033:0x3a0e0448b5313e8a!8m2!3d10.7871204!4d106.6960532!16s%2Fg%2F11vz620fyq!19sChIJMwD-AQAvdTERij4xtUgEDjo?authuser=0&amp;hl=en&amp;rclk=1"/>
    <s v="MÊ RAU Vegetarian - Buffet Lẩu Rau Nấm"/>
    <x v="1"/>
    <n v="642"/>
    <s v="₫100–200K"/>
    <x v="2"/>
    <s v="&quot;It comes with tons of veggie, tofu, and broth selection.&quot; "/>
    <s v="174 Nguyễn Văn Thủ"/>
    <n v="10.787120399999999"/>
    <n v="106.69605319999999"/>
    <x v="0"/>
    <x v="5"/>
    <x v="0"/>
    <x v="0"/>
    <x v="38"/>
    <x v="5"/>
    <s v="English / international-facing"/>
    <x v="0"/>
    <n v="2"/>
    <n v="0"/>
  </r>
  <r>
    <s v="https://www.google.com/maps/place/Filthy+Vegan/data=!4m7!3m6!1s0x31752f666798070d:0x89f2c77331d1e65f!8m2!3d10.7649171!4d106.6947502!16s%2Fg%2F11hzyv036d!19sChIJDQeYZ2YvdTERX-bRMXPH8ok?authuser=0&amp;hl=en&amp;rclk=1"/>
    <s v="Filthy Vegan"/>
    <x v="4"/>
    <n v="641"/>
    <s v="₫100–200K"/>
    <x v="8"/>
    <s v="&quot;Delicious comfort"/>
    <s v="86 Cô Bắc"/>
    <n v="10.7649171"/>
    <n v="106.6947502"/>
    <x v="0"/>
    <x v="6"/>
    <x v="0"/>
    <x v="3"/>
    <x v="39"/>
    <x v="0"/>
    <s v="English / international-facing"/>
    <x v="0"/>
    <n v="2"/>
    <n v="0"/>
  </r>
  <r>
    <s v="https://www.google.com/maps/place/OM+Eatery+-+Vegetarian+%26+Vegan+Food/data=!4m7!3m6!1s0x31752f38023fcab5:0x2352c23a411e03d6!8m2!3d10.7890301!4d106.6908913!16s%2Fg%2F11vhczg2kr!19sChIJtco_AjgvdTER1gMeQTrCUiM?authuser=0&amp;hl=en&amp;rclk=1"/>
    <s v="OM Eatery - Vegetarian &amp; Vegan Food"/>
    <x v="4"/>
    <n v="634"/>
    <s v="₫200–300K"/>
    <x v="5"/>
    <s v="&quot;It’s both satisfying and guilt-free — a great balance of health and taste.&quot; "/>
    <s v="80 Đinh Công Tráng"/>
    <n v="10.7890301"/>
    <n v="106.6908913"/>
    <x v="0"/>
    <x v="3"/>
    <x v="1"/>
    <x v="0"/>
    <x v="40"/>
    <x v="0"/>
    <s v="English / international-facing"/>
    <x v="0"/>
    <n v="3"/>
    <n v="0"/>
  </r>
  <r>
    <s v="https://www.google.com/maps/place/%C4%90u+%C4%90%E1%BB%A7+Xanh+%7C+Ti%E1%BB%87m+Chay+.+Vegetarian/data=!4m7!3m6!1s0x31752f8da57b3c39:0x81c6ddef64b28268!8m2!3d10.7863279!4d106.6946945!16s%2Fg%2F11qkk7rf9v!19sChIJOTx7pY0vdTERaIKyZO_dxoE?authuser=0&amp;hl=en&amp;rclk=1"/>
    <s v="Đu Đủ Xanh | Tiệm Chay . Vegetarian"/>
    <x v="4"/>
    <n v="626"/>
    <s v="₫200–300K"/>
    <x v="8"/>
    <s v="&quot;Truly excellent and"/>
    <s v="178A Hai Bà Trưng"/>
    <n v="10.7863279"/>
    <n v="106.6946945"/>
    <x v="0"/>
    <x v="5"/>
    <x v="1"/>
    <x v="3"/>
    <x v="41"/>
    <x v="3"/>
    <s v="Mixed local + English-facing"/>
    <x v="0"/>
    <n v="3"/>
    <n v="0"/>
  </r>
  <r>
    <s v="https://www.google.com/maps/place/MANA+Station+-+Ti%E1%BB%87m+%C4%82n+M%C3%B3n+Vi%E1%BB%87t/data=!4m7!3m6!1s0x31752fd3bea193bb:0x725fbe1807742206!8m2!3d10.776731!4d106.7047843!16s%2Fg%2F11thkdrbm0!19sChIJu5OhvtMvdTERBiJ0Bxi-X3I?authuser=0&amp;hl=en&amp;rclk=1"/>
    <s v="MANA Station - Tiệm Ăn Món Việt"/>
    <x v="3"/>
    <n v="622"/>
    <s v="₫100–200K"/>
    <x v="1"/>
    <s v="&quot;The Tofu here was cooked to PERFECTION!&quot;"/>
    <s v="Hai Bà Trưng/57 Ward"/>
    <n v="10.776731"/>
    <n v="106.7047843"/>
    <x v="0"/>
    <x v="2"/>
    <x v="0"/>
    <x v="1"/>
    <x v="42"/>
    <x v="3"/>
    <s v="Mixed local + English-facing"/>
    <x v="0"/>
    <n v="2"/>
    <n v="0"/>
  </r>
  <r>
    <s v="https://www.google.com/maps/place/Hoang%E2%80%99s+Kitchen+-+Vietnamese+cuisine+%26+vegan+food+4/data=!4m7!3m6!1s0x31752f000b681f0b:0x4ac289fc569a9d84!8m2!3d10.7813151!4d106.7055893!16s%2Fg%2F11yqvldd8l!19sChIJCx9oCwAvdTERhJ2aVvyJwko?authuser=0&amp;hl=en&amp;rclk=1"/>
    <s v="Hoang’s Kitchen - Vietnamese cuisine &amp; vegan food 4"/>
    <x v="0"/>
    <n v="621"/>
    <s v="₫200–300K"/>
    <x v="2"/>
    <s v="&quot;lovely meal , very friendly and great staff !&quot;"/>
    <s v="13/1 Lê Thánh Tôn"/>
    <n v="10.7813151"/>
    <n v="106.7055893"/>
    <x v="0"/>
    <x v="2"/>
    <x v="1"/>
    <x v="0"/>
    <x v="43"/>
    <x v="0"/>
    <s v="English / international-facing"/>
    <x v="0"/>
    <n v="3"/>
    <n v="0"/>
  </r>
  <r>
    <s v="https://www.google.com/maps/place/7+Bridges+Saigon+Craft+Beer+Taproom+%26+Restaurant+%2F+%C4%90%C3%B4ng+Du/data=!4m7!3m6!1s0x31752f3c6c5bfb91:0x806606bca8cdaaf8!8m2!3d10.7765601!4d106.7049095!16s%2Fg%2F11l6zdkck9!19sChIJkftbbDwvdTER-KrNqLwGZoA?authuser=0&amp;hl=en&amp;rclk=1"/>
    <s v="7 Bridges Saigon Craft Beer Taproom &amp; Restaurant / Đông Du"/>
    <x v="6"/>
    <n v="614"/>
    <s v="₫200–300K"/>
    <x v="1"/>
    <s v="&quot;Sooo many different flavors, very creative.&quot; "/>
    <s v="Saigon Ward, 38 Đông Du"/>
    <n v="10.776560099999999"/>
    <n v="106.7049095"/>
    <x v="0"/>
    <x v="2"/>
    <x v="1"/>
    <x v="1"/>
    <x v="44"/>
    <x v="2"/>
    <s v="English / international-facing"/>
    <x v="0"/>
    <n v="3"/>
    <n v="0"/>
  </r>
  <r>
    <s v="https://www.google.com/maps/place/Atithi+Indian+Vegetarian+Restaurant/data=!4m7!3m6!1s0x31752f623b8c0c27:0x7526c3936d0827bc!8m2!3d10.7721026!4d106.6941655!16s%2Fg%2F11yqspzhpd!19sChIJJwyMO2IvdTERvCcIbZPDJnU?authuser=0&amp;hl=en&amp;rclk=1"/>
    <s v="Atithi Indian Vegetarian Restaurant"/>
    <x v="0"/>
    <n v="611"/>
    <s v="₫200–300K"/>
    <x v="3"/>
    <s v="&quot;Fresh and healthy , sitting very comfortable, reasonable prices&quot;"/>
    <s v="246 Lý Tự Trọng"/>
    <n v="10.7721026"/>
    <n v="106.6941655"/>
    <x v="0"/>
    <x v="1"/>
    <x v="1"/>
    <x v="0"/>
    <x v="45"/>
    <x v="2"/>
    <s v="English / international-facing"/>
    <x v="0"/>
    <n v="3"/>
    <n v="0"/>
  </r>
  <r>
    <s v="https://www.google.com/maps/place/Bebop+Asian+Fusion+Restaurant+%26+Live+Performance/data=!4m7!3m6!1s0x31752f235128cbf7:0xfd9c5e6c405cd012!8m2!3d10.7772531!4d106.7002681!16s%2Fg%2F11ltdhfx0h!19sChIJ98soUSMvdTEREtBcQGxenP0?authuser=0&amp;hl=en&amp;rclk=1"/>
    <s v="Bebop Asian Fusion Restaurant &amp; Live Performance"/>
    <x v="4"/>
    <n v="549"/>
    <s v="₫200–300K"/>
    <x v="10"/>
    <s v="&quot;The was delicious and beautifully presented.&quot;"/>
    <s v="38 Lý Tự Trọng"/>
    <n v="10.777253099999999"/>
    <n v="106.7002681"/>
    <x v="0"/>
    <x v="2"/>
    <x v="1"/>
    <x v="2"/>
    <x v="46"/>
    <x v="2"/>
    <s v="English / international-facing"/>
    <x v="0"/>
    <n v="3"/>
    <n v="0"/>
  </r>
  <r>
    <s v="https://www.google.com/maps/place/M%C4%83ng%27s+Mania+Vegetarian+Restaurant/data=!4m7!3m6!1s0x31752f47bc4175ad:0x88bff037ac27b014!8m2!3d10.7753458!4d106.7029181!16s%2Fg%2F11f3vdjxcn!19sChIJrXVBvEcvdTERFLAnrDfwv4g?authuser=0&amp;hl=en&amp;rclk=1"/>
    <s v="Măng's Mania Vegetarian Restaurant"/>
    <x v="6"/>
    <n v="507"/>
    <s v="₫100–200K"/>
    <x v="2"/>
    <s v="&quot;I can’t say I’ve tasted better anywhere else, it’s delicious.&quot;"/>
    <s v="86 Nguyễn Huệ"/>
    <n v="10.7753458"/>
    <n v="106.70291810000001"/>
    <x v="0"/>
    <x v="2"/>
    <x v="0"/>
    <x v="0"/>
    <x v="47"/>
    <x v="2"/>
    <s v="English / international-facing"/>
    <x v="0"/>
    <n v="2"/>
    <n v="0"/>
  </r>
  <r>
    <s v="https://www.google.com/maps/place/Au+Patio+-+Brunch+%26+Wine/data=!4m7!3m6!1s0x31752f5c1be82ea1:0xb13afb0e57047e13!8m2!3d10.7798799!4d106.7029516!16s%2Fg%2F11q45gq_jn!19sChIJoS7oG1wvdTERE34EVw77OrE?authuser=0&amp;hl=en&amp;rclk=1"/>
    <s v="Au Patio - Brunch &amp; Wine"/>
    <x v="6"/>
    <n v="507"/>
    <s v="₫200–300K"/>
    <x v="1"/>
    <s v="&quot;Chill space, healthy foods, focus on options.&quot;"/>
    <s v="31A Lý Tự Trọng"/>
    <n v="10.779879899999999"/>
    <n v="106.70295160000001"/>
    <x v="0"/>
    <x v="2"/>
    <x v="1"/>
    <x v="1"/>
    <x v="48"/>
    <x v="4"/>
    <s v="English / international-facing"/>
    <x v="1"/>
    <n v="3"/>
    <n v="1"/>
  </r>
  <r>
    <s v="https://www.google.com/maps/place/Nh%C3%A0+H%C3%A0ng+Thu%E1%BA%A7n+Chay+B%C3%80+X%C3%83+-+CN+Pasteur+-+Vegan+Restaurant/data=!4m7!3m6!1s0x31752fe13640cfd5:0x3e6e8f125b8c8735!8m2!3d10.778468!4d106.698772!16s%2Fg%2F11t4dy6gm0!19sChIJ1c9ANuEvdTERNYeMWxKPbj4?authuser=0&amp;hl=en&amp;rclk=1"/>
    <s v="Nhà Hàng Thuần Chay BÀ XÃ - CN Pasteur - Vegan Restaurant"/>
    <x v="1"/>
    <n v="500"/>
    <s v="₫100–200K"/>
    <x v="5"/>
    <s v="&quot;The whole fish is an amazing experience!&quot;"/>
    <s v="178/4 Pasteur"/>
    <n v="10.778468"/>
    <n v="106.69877200000001"/>
    <x v="0"/>
    <x v="2"/>
    <x v="0"/>
    <x v="0"/>
    <x v="49"/>
    <x v="0"/>
    <s v="Mixed local + English-facing"/>
    <x v="0"/>
    <n v="2"/>
    <n v="0"/>
  </r>
  <r>
    <s v="https://www.google.com/maps/place/Qu%C3%A1n+Chay+Nh%C3%A0+T%C3%B4i+Vegan/data=!4m7!3m6!1s0x31752f0633e21f63:0xfe2d2b3e975465f!8m2!3d10.7883804!4d106.6974632!16s%2Fg%2F11h1z213jn!19sChIJYx_iMwYvdTERX0Z16bPS4g8?authuser=0&amp;hl=en&amp;rclk=1"/>
    <s v="Quán Chay Nhà Tôi Vegan"/>
    <x v="1"/>
    <n v="488"/>
    <s v="₫1–100,000"/>
    <x v="1"/>
    <s v="&quot;Really delicious noodle dish, friendly staff, reasonable prices.&quot;"/>
    <s v="124 Nguyễn Văn Thủ"/>
    <n v="10.788380399999999"/>
    <n v="106.6974632"/>
    <x v="0"/>
    <x v="5"/>
    <x v="2"/>
    <x v="1"/>
    <x v="50"/>
    <x v="0"/>
    <s v="Mixed local + English-facing"/>
    <x v="0"/>
    <n v="1"/>
    <n v="0"/>
  </r>
  <r>
    <s v="https://www.google.com/maps/place/Amitaba+Vegetarian+Restaurant/data=!4m7!3m6!1s0x31752f15039af52b:0xa72c4e69add2cb72!8m2!3d10.7650756!4d106.6973781!16s%2Fg%2F11f40028wt!19sChIJK_WaAxUvdTERcsvSrWlOLKc?authuser=0&amp;hl=en&amp;rclk=1"/>
    <s v="Amitaba Vegetarian Restaurant"/>
    <x v="2"/>
    <n v="453"/>
    <s v="₫100–200K"/>
    <x v="11"/>
    <s v="&quot;Delicious for a great price.&quot;"/>
    <s v="40 Nguyễn Thái Học"/>
    <n v="10.765075599999999"/>
    <n v="106.69737809999999"/>
    <x v="0"/>
    <x v="7"/>
    <x v="0"/>
    <x v="2"/>
    <x v="51"/>
    <x v="2"/>
    <s v="English / international-facing"/>
    <x v="0"/>
    <n v="2"/>
    <n v="0"/>
  </r>
  <r>
    <s v="https://www.google.com/maps/place/The+Tri%E1%BB%87u+Institute+-+Contemporary+Vietnamese+Restaurant+%26+Cocktail+Bar/data=!4m7!3m6!1s0x31752fee66731693:0xc76cdf3a36a0291e!8m2!3d10.7757948!4d106.7049791!16s%2Fg%2F11t7fbl3t0!19sChIJkxZzZu4vdTERHimgNjrfbMc?authuser=0&amp;hl=en&amp;rclk=1"/>
    <s v="The Triệu Institute - Contemporary Vietnamese Restaurant &amp; Cocktail Bar"/>
    <x v="4"/>
    <n v="398"/>
    <s v="₫200–300K"/>
    <x v="10"/>
    <s v="&quot;Every meal we ordered was a 10 out of 10. Flawless presentation and service.&quot; "/>
    <s v="10 Mạc Thị Bưởi"/>
    <n v="10.7757948"/>
    <n v="106.7049791"/>
    <x v="0"/>
    <x v="2"/>
    <x v="1"/>
    <x v="2"/>
    <x v="52"/>
    <x v="2"/>
    <s v="English / international-facing"/>
    <x v="0"/>
    <n v="3"/>
    <n v="0"/>
  </r>
  <r>
    <s v="https://www.google.com/maps/place/Chef+Thi%E1%BB%87n/data=!4m7!3m6!1s0x31752f2549e534db:0x34ffbe0fee59d02f!8m2!3d10.7773358!4d106.6999711!16s%2Fg%2F11gv16lbbw!19sChIJ2zTlSSUvdTERL9BZ7g--_zQ?authuser=0&amp;hl=en&amp;rclk=1"/>
    <s v="Chef Thiện"/>
    <x v="3"/>
    <n v="394"/>
    <s v="₫200–300K"/>
    <x v="7"/>
    <s v="&quot;All were very delicious and the prices were reasonable.&quot; "/>
    <s v="158 Pasteur"/>
    <n v="10.777335799999999"/>
    <n v="106.6999711"/>
    <x v="0"/>
    <x v="2"/>
    <x v="1"/>
    <x v="2"/>
    <x v="53"/>
    <x v="3"/>
    <s v="Mixed local + English-facing"/>
    <x v="0"/>
    <n v="3"/>
    <n v="0"/>
  </r>
  <r>
    <s v="https://www.google.com/maps/place/CHAY+GARDEN+Nguy%E1%BB%85n+Th%E1%BB%8B+Minh+Khai+-+Vegetarian+Restaurant+%26+Space/data=!4m7!3m6!1s0x31752ffb64ae97c9:0xc6fb1c069a9e660d!8m2!3d10.7851375!4d106.6999919!16s%2Fg%2F11ypknpdb2!19sChIJyZeuZPsvdTERDWaemgYc-8Y?authuser=0&amp;hl=en&amp;rclk=1"/>
    <s v="CHAY GARDEN Nguyễn Thị Minh Khai - Vegetarian Restaurant &amp; Space"/>
    <x v="4"/>
    <n v="393"/>
    <s v="₫100–200K"/>
    <x v="2"/>
    <s v="&quot;Very good , kind service and nice atmosphere.&quot;"/>
    <s v="20 Nguyễn Thị Minh Khai"/>
    <n v="10.785137499999999"/>
    <n v="106.6999919"/>
    <x v="0"/>
    <x v="5"/>
    <x v="0"/>
    <x v="0"/>
    <x v="54"/>
    <x v="2"/>
    <s v="Mixed local + English-facing"/>
    <x v="0"/>
    <n v="2"/>
    <n v="0"/>
  </r>
  <r>
    <s v="https://www.google.com/maps/place/Lune+Restaurant+and+Bar/data=!4m7!3m6!1s0x31752f822051a9e1:0xe414547cfa081b96!8m2!3d10.7798729!4d106.7041977!16s%2Fg%2F11stxhq_vm!19sChIJ4alRIIIvdTERlhsI-nxUFOQ?authuser=0&amp;hl=en&amp;rclk=1"/>
    <s v="Lune Restaurant and Bar"/>
    <x v="4"/>
    <n v="375"/>
    <s v="₫1,000,000+"/>
    <x v="10"/>
    <s v="&quot;The plating and the presentation were perfect and the tastes sensational.&quot; "/>
    <s v="17/14 Lê Thánh Tôn"/>
    <n v="10.779872900000001"/>
    <n v="106.70419769999999"/>
    <x v="0"/>
    <x v="2"/>
    <x v="3"/>
    <x v="2"/>
    <x v="55"/>
    <x v="2"/>
    <s v="English / international-facing"/>
    <x v="0"/>
    <n v="3"/>
    <n v="0"/>
  </r>
  <r>
    <s v="https://www.google.com/maps/place/iBERICO+-+TAPAS+y+VINO+Thi+Sach/data=!4m7!3m6!1s0x31752f6f80d7230d:0x5c8fb833f95b52d0!8m2!3d10.778821!4d106.704387!16s%2Fg%2F11td0lqvyl!19sChIJDSPXgG8vdTER0FJb-TO4j1w?authuser=0&amp;hl=en&amp;rclk=1"/>
    <s v="iBERICO - TAPAS y VINO Thi Sach"/>
    <x v="6"/>
    <n v="358"/>
    <s v="₫200–300K"/>
    <x v="1"/>
    <s v="&quot;The was excellent and had ample"/>
    <s v="20A Thi Sách"/>
    <n v="10.778821000000001"/>
    <n v="106.704387"/>
    <x v="0"/>
    <x v="2"/>
    <x v="1"/>
    <x v="1"/>
    <x v="56"/>
    <x v="2"/>
    <s v="English / international-facing"/>
    <x v="0"/>
    <n v="3"/>
    <n v="0"/>
  </r>
  <r>
    <s v="https://www.google.com/maps/place/Hikari+Vegetarian+Cafe+Q1/data=!4m7!3m6!1s0x31752fa4d83e812f:0xe1b1994af5985b1e!8m2!3d10.7842945!4d106.7057539!16s%2Fg%2F11w4wcp3bn!19sChIJL4E-2KQvdTERHluY9UqZseE?authuser=0&amp;hl=en&amp;rclk=1"/>
    <s v="Hikari Vegetarian Cafe Q1"/>
    <x v="3"/>
    <n v="356"/>
    <s v="₫1–100,000"/>
    <x v="6"/>
    <s v="&quot;The Japanese dish I ordered was delicious!&quot;"/>
    <s v="5/47 Nguyễn Trung Ngạn"/>
    <n v="10.7842945"/>
    <n v="106.7057539"/>
    <x v="0"/>
    <x v="2"/>
    <x v="2"/>
    <x v="0"/>
    <x v="57"/>
    <x v="4"/>
    <s v="English / international-facing"/>
    <x v="1"/>
    <n v="1"/>
    <n v="1"/>
  </r>
  <r>
    <s v="https://www.google.com/maps/place/Le+Jardin/data=!4m7!3m6!1s0x31752f91869ef491:0x9692260637b12915!8m2!3d10.7799746!4d106.7034214!16s%2Fg%2F11vdz9w2wp!19sChIJkfSehpEvdTERFSmxNwYmkpY?authuser=0&amp;hl=en&amp;rclk=1"/>
    <s v="Le Jardin"/>
    <x v="1"/>
    <n v="350"/>
    <s v="₫200–300K"/>
    <x v="7"/>
    <s v="&quot;The was tasty, nicely presented, and service was attentive throughout.&quot;"/>
    <s v="31 Thái Văn Lung"/>
    <n v="10.779974599999999"/>
    <n v="106.7034214"/>
    <x v="0"/>
    <x v="2"/>
    <x v="1"/>
    <x v="2"/>
    <x v="58"/>
    <x v="2"/>
    <s v="English / international-facing"/>
    <x v="0"/>
    <n v="3"/>
    <n v="0"/>
  </r>
  <r>
    <s v="https://www.google.com/maps/place/Cherry+Restaurant/data=!4m7!3m6!1s0x31752f1fbdcc0e6f:0xb771493e9e619807!8m2!3d10.77901!4d106.704562!16s%2Fg%2F11v5_27lj3!19sChIJbw7MvR8vdTERB5hhnj5Jcbc?authuser=0&amp;hl=en&amp;rclk=1"/>
    <s v="Cherry Restaurant"/>
    <x v="6"/>
    <n v="315"/>
    <s v="₫200–300K"/>
    <x v="1"/>
    <s v="&quot;Super nice and central location, big menu and options, too!&quot;"/>
    <s v="Thái Văn Lung/11B Ward"/>
    <n v="10.77901"/>
    <n v="106.704562"/>
    <x v="0"/>
    <x v="2"/>
    <x v="1"/>
    <x v="1"/>
    <x v="59"/>
    <x v="2"/>
    <s v="Mixed local + English-facing"/>
    <x v="0"/>
    <n v="3"/>
    <n v="0"/>
  </r>
  <r>
    <s v="https://www.google.com/maps/place/Mustard+The+Indian+Bistro/data=!4m7!3m6!1s0x31752fc1a0d7a8ef:0xb0cad5e546d4bd1b!8m2!3d10.7787636!4d106.7027829!16s%2Fg%2F11zjlxvv9y!19sChIJ76jXoMEvdTERG73URuXVyrA?authuser=0&amp;hl=en&amp;rclk=1"/>
    <s v="Mustard The Indian Bistro"/>
    <x v="0"/>
    <n v="295"/>
    <s v="₫200–300K"/>
    <x v="1"/>
    <s v="&quot;I had the veggie momos (perfect in all regards!) and the hara kebab.&quot; "/>
    <s v="76 Hai Bà Trưng (Mặt trước), Quận 1, Hồ Chí Minh Balcony:, Mặt sau, view balcony, 62 Lê Thánh Tôn"/>
    <n v="10.7787636"/>
    <n v="106.7027829"/>
    <x v="0"/>
    <x v="2"/>
    <x v="1"/>
    <x v="1"/>
    <x v="60"/>
    <x v="2"/>
    <s v="English / international-facing"/>
    <x v="0"/>
    <n v="3"/>
    <n v="0"/>
  </r>
  <r>
    <s v="https://www.google.com/maps/place/The+Shed/data=!4m7!3m6!1s0x31752f885a2180bd:0xefcc60c1524ca3af!8m2!3d10.7782614!4d106.6984487!16s%2Fg%2F11xmf7bzd0!19sChIJvYAhWogvdTERr6NMUsFgzO8?authuser=0&amp;hl=en&amp;rclk=1"/>
    <s v="The Shed"/>
    <x v="0"/>
    <n v="271"/>
    <s v="₫200–300K"/>
    <x v="1"/>
    <s v="&quot; is sensational with options for everyone and every family friendly.&quot;"/>
    <s v="178 Pasteur"/>
    <n v="10.7782614"/>
    <n v="106.6984487"/>
    <x v="0"/>
    <x v="2"/>
    <x v="1"/>
    <x v="1"/>
    <x v="61"/>
    <x v="4"/>
    <s v="English / international-facing"/>
    <x v="1"/>
    <n v="3"/>
    <n v="1"/>
  </r>
  <r>
    <s v="https://www.google.com/maps/place/Tandoor/data=!4m7!3m6!1s0x31752f05e93cef9f:0x80c92fbf53ff0f62!8m2!3d10.7799751!4d106.7043106!16s%2Fg%2F11s82xpb1c!19sChIJn-886QUvdTERYg__U78vyYA?authuser=0&amp;hl=en&amp;rclk=1"/>
    <s v="Tandoor"/>
    <x v="1"/>
    <n v="265"/>
    <s v="₫200–300K"/>
    <x v="10"/>
    <s v="&quot;Each dish we tried was cooked to perfection and beautifully presented.&quot; "/>
    <s v="Lê Thánh Tôn/17/10 Ward"/>
    <n v="10.7799751"/>
    <n v="106.7043106"/>
    <x v="0"/>
    <x v="2"/>
    <x v="1"/>
    <x v="2"/>
    <x v="62"/>
    <x v="2"/>
    <s v="English / international-facing"/>
    <x v="0"/>
    <n v="3"/>
    <n v="0"/>
  </r>
  <r>
    <s v="https://www.google.com/maps/place/Buffet+Chay+C%E1%BB%8F+N%E1%BB%99i+Vegetarian/data=!4m7!3m6!1s0x31752f9f959154e7:0xedb6b3f43a48a30b!8m2!3d10.7750885!4d106.7037454!16s%2Fg%2F11gr5_vr46!19sChIJ51SRlZ8vdTERC6NIOvSztu0?authuser=0&amp;hl=en&amp;rclk=1"/>
    <s v="Buffet Chay Cỏ Nội Vegetarian"/>
    <x v="3"/>
    <n v="160"/>
    <s v="₫200–300K"/>
    <x v="8"/>
    <s v="&quot;Incredibly tasty Asian buffet at $8 per head!&quot;"/>
    <s v="Khách sạn Bông Sen Sài Gòn, Tầng 7, 123 Đồng Khởi"/>
    <n v="10.775088500000001"/>
    <n v="106.7037454"/>
    <x v="0"/>
    <x v="2"/>
    <x v="1"/>
    <x v="3"/>
    <x v="63"/>
    <x v="5"/>
    <s v="Mixed local + English-facing"/>
    <x v="0"/>
    <n v="3"/>
    <n v="0"/>
  </r>
  <r>
    <s v="https://www.google.com/maps/place/Qu%C3%A1n+Chay+Li%C3%AAn+T%E1%BB%8Fa+-+Vegetarian/data=!4m7!3m6!1s0x31752f6591337af7:0x31fec20c0e25f8ee!8m2!3d10.7850596!4d106.700441!16s%2Fg%2F11w4fzfj0l!19sChIJ93ozkWUvdTER7vglDgzC_jE?authuser=0&amp;hl=en&amp;rclk=1"/>
    <s v="Quán Chay Liên Tỏa - Vegetarian"/>
    <x v="6"/>
    <n v="133"/>
    <s v="₫100–200K"/>
    <x v="0"/>
    <s v="&quot;A beautiful with"/>
    <s v="17C Nguyễn Thị Minh Khai"/>
    <n v="10.7850596"/>
    <n v="106.700441"/>
    <x v="0"/>
    <x v="5"/>
    <x v="0"/>
    <x v="0"/>
    <x v="64"/>
    <x v="3"/>
    <s v="Mixed local + English-facing"/>
    <x v="0"/>
    <n v="2"/>
    <n v="0"/>
  </r>
  <r>
    <s v="https://www.google.com/maps/place/We+Desi+Tadka+pure+vegetarian+Indian+restaurant/data=!4m7!3m6!1s0x31752fa42f902c89:0x2986500e958c8491!8m2!3d10.768231!4d106.693986!16s%2Fg%2F11wx6w9klh!19sChIJiSyQL6QvdTERkYSMlQ5Qhik?authuser=0&amp;hl=en&amp;rclk=1"/>
    <s v="We Desi Tadka pure vegetarian Indian restaurant"/>
    <x v="4"/>
    <n v="124"/>
    <s v="₫100–200K"/>
    <x v="1"/>
    <s v="&quot;Delicious , top-notch service, 👍🏻and outstanding ambiance.&quot;"/>
    <s v="185/30 Phạm Ngũ Lão"/>
    <n v="10.768231"/>
    <n v="106.693986"/>
    <x v="0"/>
    <x v="1"/>
    <x v="0"/>
    <x v="1"/>
    <x v="65"/>
    <x v="2"/>
    <s v="English / international-facing"/>
    <x v="0"/>
    <n v="2"/>
    <n v="0"/>
  </r>
  <r>
    <s v="https://www.google.com/maps/place/C%C6%A1m+Chay+Thi%E1%BB%87n+Quang+2+%28Vegetarian+restaurant%29/data=!4m7!3m6!1s0x31752fa2a1016a31:0xda1d5e0e43d45645!8m2!3d10.7838305!4d106.7053702!16s%2Fg%2F11qprvz6lb!19sChIJMWoBoaIvdTERRVbUQw5eHdo?authuser=0&amp;hl=en&amp;rclk=1"/>
    <s v="Cơm Chay Thiện Quang 2 (Vegetarian restaurant)"/>
    <x v="4"/>
    <n v="95"/>
    <s v="₫1–100,000"/>
    <x v="0"/>
    <s v="&quot;Simple with just the right balance of healthy and fried.&quot;"/>
    <s v="15 Nguyễn Trung Ngạn"/>
    <n v="10.783830500000001"/>
    <n v="106.7053702"/>
    <x v="0"/>
    <x v="2"/>
    <x v="2"/>
    <x v="0"/>
    <x v="66"/>
    <x v="3"/>
    <s v="Mixed local + English-facing"/>
    <x v="0"/>
    <n v="1"/>
    <n v="0"/>
  </r>
  <r>
    <s v="https://www.google.com/maps/place/Gotama+Buffet+Chay+%28Vegetarian+buffet+50k%29/data=!4m7!3m6!1s0x31752f682a188d09:0x22717d29bc8714e1!8m2!3d10.7876178!4d106.702848!16s%2Fg%2F11wr9wf3qd!19sChIJCY0YKmgvdTER4RSHvCl9cSI?authuser=0&amp;hl=en&amp;rclk=1"/>
    <s v="Gotama Buffet Chay (Vegetarian buffet 50k)"/>
    <x v="4"/>
    <n v="26"/>
    <s v="₫1–100,000"/>
    <x v="1"/>
    <s v="&quot;Very fresh, delicious flavours &amp; a good variety of proteins &amp; veg &amp; soup!&quot; "/>
    <s v="7A Nguyễn Thị Minh Khai"/>
    <n v="10.7876178"/>
    <n v="106.702848"/>
    <x v="0"/>
    <x v="2"/>
    <x v="2"/>
    <x v="1"/>
    <x v="67"/>
    <x v="5"/>
    <s v="Mixed local + English-facing"/>
    <x v="0"/>
    <n v="1"/>
    <n v="0"/>
  </r>
  <r>
    <s v="https://www.google.com/maps/place/Antico+Fornaio+-+Union+Square/data=!4m7!3m6!1s0x31752fd1e165ab05:0x4823ab3f43c97d0d!8m2!3d10.7763495!4d106.7023643!16s%2Fg%2F11z2yyy39q!19sChIJBatl4dEvdTERDX3JQz-rI0g?authuser=0&amp;hl=en&amp;rclk=1"/>
    <s v="Antico Fornaio - Union Square"/>
    <x v="0"/>
    <n v="22"/>
    <s v="₫200–300K"/>
    <x v="1"/>
    <s v="&quot;Great hospitality from the team and they even have a option.&quot;"/>
    <s v="LL2, 171 Đồng Khởi"/>
    <n v="10.7763495"/>
    <n v="106.7023643"/>
    <x v="0"/>
    <x v="2"/>
    <x v="1"/>
    <x v="1"/>
    <x v="68"/>
    <x v="4"/>
    <s v="English / international-facing"/>
    <x v="1"/>
    <n v="3"/>
    <n v="1"/>
  </r>
  <r>
    <s v="https://www.google.com/maps/place/C%C3%B4+Th%E1%BA%A3o+Vegetarian+Restaurant/data=!4m7!3m6!1s0x31752f09caa62d41:0x88b3e7e94ee3307a!8m2!3d10.7849579!4d106.6989365!16s%2Fg%2F11tp6q55xm!19sChIJQS2mygkvdTERejDjTunns4g?authuser=0&amp;hl=en&amp;rclk=1"/>
    <s v="Cô Thảo Vegetarian Restaurant"/>
    <x v="7"/>
    <n v="18"/>
    <s v=""/>
    <x v="1"/>
    <s v=" "/>
    <s v="37/3 Mạc Đĩnh Chi"/>
    <n v="10.7849579"/>
    <n v="106.6989365"/>
    <x v="0"/>
    <x v="5"/>
    <x v="3"/>
    <x v="1"/>
    <x v="69"/>
    <x v="2"/>
    <s v="English / international-facing"/>
    <x v="0"/>
    <n v="3"/>
    <n v="0"/>
  </r>
  <r>
    <s v="https://www.google.com/maps/place/Shelley%27s+Vegetarian+Comfort+Food/data=!4m7!3m6!1s0x31752f007600a107:0x24460b087f2ac904!8m2!3d10.7750811!4d106.700503!16s%2Fg%2F11y2sf18_b!19sChIJB6EAdgAvdTERBMkqfwgLRiQ?authuser=0&amp;hl=en&amp;rclk=1"/>
    <s v="Shelley's Vegetarian Comfort Food"/>
    <x v="8"/>
    <n v="16"/>
    <s v="₫200–300K"/>
    <x v="3"/>
    <s v="&quot;I came for the , the burger was delicious.&quot;"/>
    <s v="73 Pasteur"/>
    <n v="10.7750811"/>
    <n v="106.700503"/>
    <x v="0"/>
    <x v="2"/>
    <x v="1"/>
    <x v="0"/>
    <x v="70"/>
    <x v="0"/>
    <s v="English / international-facing"/>
    <x v="0"/>
    <n v="3"/>
    <n v="0"/>
  </r>
  <r>
    <s v="https://www.google.com/maps/place/Vegan+B%C3%A1nh+Mi/data=!4m7!3m6!1s0x31752f001ae6d3d3:0xb2e6e3061e0bc2ba!8m2!3d10.7862146!4d106.7011551!16s%2Fg%2F11xrdt5k2q!19sChIJ09PmGgAvdTERusILHgbj5rI?authuser=0&amp;hl=en&amp;rclk=1"/>
    <s v="Vegan Bánh Mi"/>
    <x v="0"/>
    <n v="10"/>
    <s v="₫1–100,000"/>
    <x v="1"/>
    <s v="&quot;Great place for breakfast, lunch etc open 24 hours&quot;"/>
    <s v="16 Nguyễn Thị Minh Khai"/>
    <n v="10.786214599999999"/>
    <n v="106.70115509999999"/>
    <x v="0"/>
    <x v="5"/>
    <x v="2"/>
    <x v="1"/>
    <x v="71"/>
    <x v="0"/>
    <s v="English / international-facing"/>
    <x v="0"/>
    <n v="1"/>
    <n v="0"/>
  </r>
  <r>
    <s v="https://www.google.com/maps/place/Hum+Central+-+Healthy+Veggies+Delights/data=!4m7!3m6!1s0x31752fef2f233813:0xa84709dc86dcbdaf!8m2!3d10.7800639!4d106.6994983!16s%2Fg%2F11n9s98s8q!19sChIJEzgjL-8vdTERr73chtwJR6g?authuser=0&amp;hl=en&amp;rclk=1"/>
    <s v="Hum Central - Healthy Veggies Delights"/>
    <x v="7"/>
    <n v="2"/>
    <s v="₫200–300K"/>
    <x v="1"/>
    <s v=" "/>
    <s v="Toà nhà Viễn Thông Thành Phố, vào lối cửa 6, Đ. Nguyễn Văn Bình"/>
    <n v="10.7800639"/>
    <n v="106.6994983"/>
    <x v="0"/>
    <x v="2"/>
    <x v="1"/>
    <x v="1"/>
    <x v="72"/>
    <x v="2"/>
    <s v="English / international-facing"/>
    <x v="0"/>
    <n v="3"/>
    <n v="0"/>
  </r>
  <r>
    <s v="https://www.google.com/maps/place/Here+%26+Now+Vegetarian+%28Restaurant+%26+coffee%29/data=!4m7!3m6!1s0x317529b04721988d:0xcf571837c81a5526!8m2!3d10.7898785!4d106.7109045!16s%2Fg%2F11fj8j6x8c!19sChIJjZghR7ApdTERJlUayDcYV88?authuser=0&amp;hl=en&amp;rclk=1"/>
    <s v="Here &amp; Now Vegetarian (Restaurant &amp; coffee)"/>
    <x v="1"/>
    <n v="489"/>
    <s v="₫100–200K"/>
    <x v="1"/>
    <s v="&quot;Delicious in a calm and inviting atmosphere&quot;"/>
    <s v="74/1 Phạm Viết Chánh"/>
    <n v="10.7898785"/>
    <n v="106.7109045"/>
    <x v="1"/>
    <x v="8"/>
    <x v="0"/>
    <x v="1"/>
    <x v="1"/>
    <x v="4"/>
    <s v="English / international-facing"/>
    <x v="1"/>
    <n v="2"/>
    <n v="1"/>
  </r>
  <r>
    <s v="https://www.google.com/maps/place/Santorino+coffee+%26+veggies/data=!4m7!3m6!1s0x3175294056ebc581:0x4844703a35afacdd!8m2!3d10.7886858!4d106.7087982!16s%2Fg%2F11h37m7rc_!19sChIJgcXrVkApdTER3ayvNTpwREg?authuser=0&amp;hl=en&amp;rclk=1"/>
    <s v="Santorino coffee &amp; veggies"/>
    <x v="6"/>
    <n v="344"/>
    <s v="₫100–200K"/>
    <x v="12"/>
    <s v="&quot;Friendly staff, SO MANY options and really cute vibes inside!&quot;"/>
    <s v="74 Nguyễn Ngọc Phương"/>
    <n v="10.7886858"/>
    <n v="106.7087982"/>
    <x v="1"/>
    <x v="8"/>
    <x v="0"/>
    <x v="0"/>
    <x v="3"/>
    <x v="4"/>
    <s v="English / international-facing"/>
    <x v="1"/>
    <n v="2"/>
    <n v="1"/>
  </r>
  <r>
    <s v="https://www.google.com/maps/place/Tu%E1%BB%87+Minh+Vegan+Food+%26+Drinks+%7C+Qu%C3%A1n+Chay+Ngon+B%C3%ACnh+Th%E1%BA%A1nh/data=!4m7!3m6!1s0x317529007b12be85:0xdb6ab139bfcbcc1c!8m2!3d10.790118!4d106.7112413!16s%2Fg%2F11y50t524s!19sChIJhb4SewApdTERHMzLvzmxats?authuser=0&amp;hl=en&amp;rclk=1"/>
    <s v="Tuệ Minh Vegan Food &amp; Drinks | Quán Chay Ngon Bình Thạnh"/>
    <x v="4"/>
    <n v="333"/>
    <s v="₫100–200K"/>
    <x v="2"/>
    <s v="&quot;Delicious , which is also tasty for people who usually like meat.&quot;"/>
    <s v="76C-76D Phạm Viết Chánh"/>
    <n v="10.790118"/>
    <n v="106.7112413"/>
    <x v="1"/>
    <x v="8"/>
    <x v="0"/>
    <x v="0"/>
    <x v="73"/>
    <x v="0"/>
    <s v="Mixed local + English-facing"/>
    <x v="0"/>
    <n v="2"/>
    <n v="0"/>
  </r>
  <r>
    <s v="https://www.google.com/maps/place/B%E1%BA%BFp+Chay+%26+Cafe+NH%C3%80+M%E1%BA%A4Y+D%C3%8C/data=!4m7!3m6!1s0x3175298fe06f3bbd:0xcf0b8de597c559c!8m2!3d10.795483!4d106.7101379!16s%2Fg%2F11sw0vlbpy!19sChIJvTtv4I8pdTERnFV8Wd648Aw?authuser=0&amp;hl=en&amp;rclk=1"/>
    <s v="Bếp Chay &amp; Cafe NHÀ MẤY DÌ"/>
    <x v="5"/>
    <n v="169"/>
    <s v="₫100–200K"/>
    <x v="0"/>
    <s v="&quot;Great place on the water, cool view and tasty dishes&quot;"/>
    <s v="80 Xô Viết Nghệ Tĩnh"/>
    <n v="10.795483000000001"/>
    <n v="106.71013790000001"/>
    <x v="1"/>
    <x v="8"/>
    <x v="0"/>
    <x v="0"/>
    <x v="74"/>
    <x v="4"/>
    <s v="Mixed local + English-facing"/>
    <x v="1"/>
    <n v="2"/>
    <n v="1"/>
  </r>
  <r>
    <s v="https://www.google.com/maps/place/Qu%C3%A1n+Chay+L%E1%BB%A5c+H%C3%B2a+-+Vegetarian+Food/data=!4m7!3m6!1s0x317529c902304233:0x36e40983a9e64800!8m2!3d10.8035694!4d106.7210512!16s%2Fg%2F11rzwqhbxd!19sChIJM0IwAskpdTERAEjmqYMJ5DY?authuser=0&amp;hl=en&amp;rclk=1"/>
    <s v="Quán Chay Lục Hòa - Vegetarian Food"/>
    <x v="5"/>
    <n v="68"/>
    <s v="₫1–100,000"/>
    <x v="6"/>
    <s v="&quot;We had a nice Vietnamese breakfast here, braised tofu, hu tori, yummm&quot;"/>
    <s v="191 Nguyễn Văn Thương"/>
    <n v="10.803569400000001"/>
    <n v="106.72105120000001"/>
    <x v="1"/>
    <x v="9"/>
    <x v="2"/>
    <x v="0"/>
    <x v="6"/>
    <x v="3"/>
    <s v="Mixed local + English-facing"/>
    <x v="0"/>
    <n v="1"/>
    <n v="0"/>
  </r>
  <r>
    <s v="https://www.google.com/maps/place/GBomb+Cuisine+-+Vegan+Thu%E1%BA%A7n+Chay/data=!4m7!3m6!1s0x317529d705e9553b:0xf3d465855b494436!8m2!3d10.7888411!4d106.7150518!16s%2Fg%2F11l6rzxw03!19sChIJO1XpBdcpdTERNkRJW4Vl1PM?authuser=0&amp;hl=en&amp;rclk=1"/>
    <s v="GBomb Cuisine - Vegan Thuần Chay"/>
    <x v="3"/>
    <n v="55"/>
    <s v="₫1–100,000"/>
    <x v="0"/>
    <s v="&quot;Honestly the best Döner and Wrap that we ever had.&quot;"/>
    <s v="36 Nguyễn Hữu Cảnh"/>
    <n v="10.788841100000001"/>
    <n v="106.7150518"/>
    <x v="1"/>
    <x v="9"/>
    <x v="2"/>
    <x v="0"/>
    <x v="7"/>
    <x v="0"/>
    <s v="Mixed local + English-facing"/>
    <x v="0"/>
    <n v="1"/>
    <n v="0"/>
  </r>
  <r>
    <s v="https://www.google.com/maps/place/Xanh+vegan+and+vegetarian/data=!4m7!3m6!1s0x317529262821a143:0x65f789063aa8afae!8m2!3d10.7919385!4d106.7195364!16s%2Fg%2F11jgq4cmvc!19sChIJQ6EhKCYpdTERrq-oOgaJ92U?authuser=0&amp;hl=en&amp;rclk=1"/>
    <s v="Xanh vegan and vegetarian"/>
    <x v="8"/>
    <n v="43"/>
    <s v="₫100–200K"/>
    <x v="1"/>
    <s v="&quot;Very good , eco friendly packaging, generous portions and good price.&quot;"/>
    <s v="hẻm 132 132/41 Nguyễn Hữu Cảnh"/>
    <n v="10.791938500000001"/>
    <n v="106.7195364"/>
    <x v="1"/>
    <x v="9"/>
    <x v="0"/>
    <x v="1"/>
    <x v="8"/>
    <x v="0"/>
    <s v="English / international-facing"/>
    <x v="0"/>
    <n v="2"/>
    <n v="0"/>
  </r>
  <r>
    <s v="https://www.google.com/maps/place/Healthy+Choice+-+Love.Peace.Vegan/data=!4m7!3m6!1s0x3175295eced7374f:0x5876940b742edc25!8m2!3d10.7895113!4d106.7081421!16s%2Fg%2F11rzd8pkp9!19sChIJTzfXzl4pdTERJdwudAuUdlg?authuser=0&amp;hl=en&amp;rclk=1"/>
    <s v="Healthy Choice - Love.Peace.Vegan"/>
    <x v="0"/>
    <n v="20"/>
    <s v="₫100–200K"/>
    <x v="1"/>
    <s v="&quot; is varied and delicious.&quot;"/>
    <s v="62/4 Nguyễn Ngọc Phương"/>
    <n v="10.789511299999999"/>
    <n v="106.7081421"/>
    <x v="1"/>
    <x v="8"/>
    <x v="0"/>
    <x v="1"/>
    <x v="10"/>
    <x v="0"/>
    <s v="English / international-facing"/>
    <x v="0"/>
    <n v="2"/>
    <n v="0"/>
  </r>
  <r>
    <s v="https://www.google.com/maps/place/L%C3%AA+An+vegetarian/data=!4m7!3m6!1s0x3175299a5b54e267:0x2c5aed119c2b2a6!8m2!3d10.7983324!4d106.7131962!16s%2Fg%2F11w427gzpj!19sChIJZ-JUW5opdTERprLCGdGuxQI?authuser=0&amp;hl=en&amp;rclk=1"/>
    <s v="Lê An vegetarian"/>
    <x v="7"/>
    <n v="2"/>
    <s v="₫100–200K"/>
    <x v="1"/>
    <s v="Dine-in No-contact delivery"/>
    <s v="Block E1 Chung cư Mỹ Đức, Xô Viết Nghệ Tĩnh"/>
    <n v="10.7983324"/>
    <n v="106.7131962"/>
    <x v="1"/>
    <x v="10"/>
    <x v="0"/>
    <x v="1"/>
    <x v="75"/>
    <x v="2"/>
    <s v="English / international-facing"/>
    <x v="0"/>
    <n v="2"/>
    <n v="0"/>
  </r>
  <r>
    <s v="https://www.google.com/maps/place/Hum+Signature+-+Plant-based+fine+dining/data=!4m7!3m6!1s0x31752f309f992c8b:0x213c2b2d1ba2c2d6!8m2!3d10.7788628!4d106.6920523!16s%2Fg%2F1hg4_mb04!19sChIJiyyZnzAvdTER1sKiGy0rPCE?authuser=0&amp;hl=en&amp;rclk=1"/>
    <s v="Hum Signature - Plant-based fine dining"/>
    <x v="3"/>
    <n v="4975"/>
    <s v="₫200–300K"/>
    <x v="9"/>
    <s v="&quot;A beautiful tranquil setting with excellent and"/>
    <s v="32 Võ Văn Tần"/>
    <n v="10.778862800000001"/>
    <n v="106.6920523"/>
    <x v="2"/>
    <x v="11"/>
    <x v="1"/>
    <x v="4"/>
    <x v="0"/>
    <x v="0"/>
    <s v="English / international-facing"/>
    <x v="0"/>
    <n v="3"/>
    <n v="0"/>
  </r>
  <r>
    <s v="https://www.google.com/maps/place/CHAY+GARDEN+V%C3%B5+V%C4%83n+T%E1%BA%A7n+-+Vegetarian+Restaurant+%26+Coffee/data=!4m7!3m6!1s0x31752fff8c8f8461:0x7e220b548354ff32!8m2!3d10.7781582!4d106.69066!16s%2Fg%2F11h22hsnl5!19sChIJYYSPjP8vdTERMv9Ug1QLIn4?authuser=0&amp;hl=en&amp;rclk=1"/>
    <s v="CHAY GARDEN Võ Văn Tần - Vegetarian Restaurant &amp; Coffee"/>
    <x v="6"/>
    <n v="2193"/>
    <s v="₫200–300K"/>
    <x v="2"/>
    <s v="&quot;Delicious in a clean and beautiful atmosphere.&quot;"/>
    <s v="52 Võ Văn Tần"/>
    <n v="10.7781582"/>
    <n v="106.69065999999999"/>
    <x v="2"/>
    <x v="11"/>
    <x v="1"/>
    <x v="0"/>
    <x v="2"/>
    <x v="4"/>
    <s v="Mixed local + English-facing"/>
    <x v="1"/>
    <n v="3"/>
    <n v="1"/>
  </r>
  <r>
    <s v="https://www.google.com/maps/place/V%E1%BB%8B+S%C3%A0i+G%C3%B2n+Restaurant+%26+Caf%C3%A9/data=!4m7!3m6!1s0x31752f7ab9ad1afb:0xe03b4971af3c924a!8m2!3d10.7770411!4d106.6885969!16s%2Fg%2F11vz4qxqtz!19sChIJ-xqtuXovdTERSpI8r3FJO-A?authuser=0&amp;hl=en&amp;rclk=1"/>
    <s v="Vị Sài Gòn Restaurant &amp; Café"/>
    <x v="0"/>
    <n v="2008"/>
    <s v="₫100–200K"/>
    <x v="6"/>
    <s v="&quot;The was delicious—fresh, flavorful, and beautifully presented.&quot;"/>
    <s v="254 Bis Nguyễn Đình Chiểu"/>
    <n v="10.7770411"/>
    <n v="106.68859689999999"/>
    <x v="2"/>
    <x v="11"/>
    <x v="0"/>
    <x v="0"/>
    <x v="3"/>
    <x v="4"/>
    <s v="English / international-facing"/>
    <x v="1"/>
    <n v="2"/>
    <n v="1"/>
  </r>
  <r>
    <s v="https://www.google.com/maps/place/Bong+Sung+Vegetarian+Restaurant/data=!4m7!3m6!1s0x31752f381d81fe73:0x59186104b466e0fc!8m2!3d10.7753458!4d106.6902814!16s%2Fg%2F11clytphpw!19sChIJc_6BHTgvdTER_OBmtARhGFk?authuser=0&amp;hl=en&amp;rclk=1"/>
    <s v="Bong Sung Vegetarian Restaurant"/>
    <x v="2"/>
    <n v="1178"/>
    <s v="₫100–200K"/>
    <x v="13"/>
    <s v="&quot;The was great and delicious, and the staff were very friendly!&quot;"/>
    <s v="4 Bà Huyện Thanh Quan"/>
    <n v="10.7753458"/>
    <n v="106.6902814"/>
    <x v="2"/>
    <x v="11"/>
    <x v="0"/>
    <x v="0"/>
    <x v="73"/>
    <x v="2"/>
    <s v="English / international-facing"/>
    <x v="0"/>
    <n v="2"/>
    <n v="0"/>
  </r>
  <r>
    <s v="https://www.google.com/maps/place/Nh%C3%A0+H%C3%A0ng+Thu%E1%BA%A7n+Chay+B%C3%80+X%C3%83+-+CN+Tr%C6%B0%C6%A1ng+%C4%90%E1%BB%8Bnh+-+Vegan+Restaurant/data=!4m7!3m6!1s0x31752f244e07201f:0x53563bf15a0e7a59!8m2!3d10.7787053!4d106.6885592!16s%2Fg%2F11h4d6p37q!19sChIJHyAHTiQvdTERWXoOWvE7VlM?authuser=0&amp;hl=en&amp;rclk=1"/>
    <s v="Nhà Hàng Thuần Chay BÀ XÃ - CN Trương Định - Vegan Restaurant"/>
    <x v="2"/>
    <n v="1119"/>
    <s v="₫100–200K"/>
    <x v="5"/>
    <s v="&quot;The fish and beef were incredible too.&quot;"/>
    <s v="107K Trương Định"/>
    <n v="10.7787053"/>
    <n v="106.6885592"/>
    <x v="2"/>
    <x v="11"/>
    <x v="0"/>
    <x v="0"/>
    <x v="74"/>
    <x v="0"/>
    <s v="Mixed local + English-facing"/>
    <x v="0"/>
    <n v="2"/>
    <n v="0"/>
  </r>
  <r>
    <s v="https://www.google.com/maps/place/Qu%C3%A1n+chay+L%C3%A1+%7C+Vegetarian+Restaurant/data=!4m7!3m6!1s0x31752f4e4d07f6c5:0xff498675a1cc48c6!8m2!3d10.7864414!4d106.6923565!16s%2Fg%2F11sv_2sb0j!19sChIJxfYHTU4vdTERxkjMoXWGSf8?authuser=0&amp;hl=en&amp;rclk=1"/>
    <s v="Quán chay Lá | Vegetarian Restaurant"/>
    <x v="5"/>
    <n v="662"/>
    <s v="₫1–100,000"/>
    <x v="2"/>
    <s v="&quot;Delicious and for an unbeatable price!!&quot;"/>
    <s v="66/10 Phạm Ngọc Thạch"/>
    <n v="10.786441399999999"/>
    <n v="106.6923565"/>
    <x v="2"/>
    <x v="11"/>
    <x v="2"/>
    <x v="0"/>
    <x v="5"/>
    <x v="3"/>
    <s v="Mixed local + English-facing"/>
    <x v="0"/>
    <n v="1"/>
    <n v="0"/>
  </r>
  <r>
    <s v="https://www.google.com/maps/place/Vinh+Nghiem+Vegetarian+restaurant/data=!4m7!3m6!1s0x317528d3538dd6df:0xdb1ddd14ed0cc702!8m2!3d10.7904546!4d106.6826408!16s%2Fg%2F11dx9608vv!19sChIJ39aNU9ModTERAscM7RTdHds?authuser=0&amp;hl=en&amp;rclk=1"/>
    <s v="Vinh Nghiem Vegetarian restaurant"/>
    <x v="2"/>
    <n v="629"/>
    <s v="₫100–200K"/>
    <x v="11"/>
    <s v="&quot;Amazing tasty for a good price!&quot;"/>
    <s v="339 Nam Kỳ Khởi Nghĩa"/>
    <n v="10.7904546"/>
    <n v="106.6826408"/>
    <x v="2"/>
    <x v="11"/>
    <x v="0"/>
    <x v="2"/>
    <x v="6"/>
    <x v="2"/>
    <s v="English / international-facing"/>
    <x v="0"/>
    <n v="2"/>
    <n v="0"/>
  </r>
  <r>
    <s v="https://www.google.com/maps/place/T%C3%A2m+T%C3%A2m+Vegetarian+%26+Coffee/data=!4m7!3m6!1s0x31752f0039cee3fd:0x3ac1c8aab080479b!8m2!3d10.7797526!4d106.6855053!16s%2Fg%2F11y8mw3gjz!19sChIJ_ePOOQAvdTERm0eAsKrIwTo?authuser=0&amp;hl=en&amp;rclk=1"/>
    <s v="Tâm Tâm Vegetarian &amp; Coffee"/>
    <x v="0"/>
    <n v="420"/>
    <s v="₫100–200K"/>
    <x v="0"/>
    <s v="&quot;Delicious and great service&quot;"/>
    <s v="49C Tú Xương"/>
    <n v="10.7797526"/>
    <n v="106.6855053"/>
    <x v="2"/>
    <x v="11"/>
    <x v="0"/>
    <x v="0"/>
    <x v="8"/>
    <x v="4"/>
    <s v="English / international-facing"/>
    <x v="1"/>
    <n v="2"/>
    <n v="1"/>
  </r>
  <r>
    <s v="https://www.google.com/maps/place/Hum+Lounge+-+Healthy+Veggies+Delights/data=!4m7!3m6!1s0x31752f78f8ad36e9:0x6b9f0dd3b56322e5!8m2!3d10.7786114!4d106.6920676!16s%2Fg%2F11vqs4_p8x!19sChIJ6Tat-HgvdTER5SJjtdMNn2s?authuser=0&amp;hl=en&amp;rclk=1"/>
    <s v="Hum Lounge - Healthy Veggies Delights"/>
    <x v="4"/>
    <n v="314"/>
    <s v="₫200–300K"/>
    <x v="0"/>
    <s v="&quot;Refreshing and delicious dishes with friendly staff.&quot;"/>
    <s v="34 Võ Văn Tần"/>
    <n v="10.778611400000001"/>
    <n v="106.6920676"/>
    <x v="2"/>
    <x v="11"/>
    <x v="1"/>
    <x v="0"/>
    <x v="9"/>
    <x v="4"/>
    <s v="English / international-facing"/>
    <x v="1"/>
    <n v="3"/>
    <n v="1"/>
  </r>
  <r>
    <s v="https://www.google.com/maps/place/CHAY+TU%E1%BB%86+%C4%90%C4%82NG+QUANG+%7C+Qu%C3%A1n+Chay+G%E1%BA%A7n+%C4%90%C3%A2y+-+Qu%E1%BA%ADn+3+%7C+Vegetarian+Restaurant+near+here/data=!4m7!3m6!1s0x31752f38875e271d:0x24634d76745f0827!8m2!3d10.7900213!4d106.6794503!16s%2Fg%2F11x83jyqv0!19sChIJHSdehzgvdTERJwhfdHZNYyQ?authuser=0&amp;hl=en&amp;rclk=1"/>
    <s v="CHAY TUỆ ĐĂNG QUANG | Quán Chay Gần Đây - Quận 3 | Vegetarian Restaurant near here"/>
    <x v="0"/>
    <n v="186"/>
    <s v="₫1–100,000"/>
    <x v="1"/>
    <s v="&quot;Delicious authentic with a friendly owner&quot;"/>
    <s v="Trần Quang Diệu"/>
    <n v="10.790021299999999"/>
    <n v="106.6794503"/>
    <x v="2"/>
    <x v="12"/>
    <x v="2"/>
    <x v="1"/>
    <x v="10"/>
    <x v="3"/>
    <s v="Mixed local + English-facing"/>
    <x v="0"/>
    <n v="1"/>
    <n v="0"/>
  </r>
  <r>
    <s v="https://www.google.com/maps/place/Chay+Xanh+-+Green+Vegan+Food+%28Veggie+Saigon%29/data=!4m7!3m6!1s0x31752f909619c2d3:0xea65839705473093!8m2!3d10.78609!4d106.671357!16s%2Fg%2F11rqcf85nb!19sChIJ08IZlpAvdTERkzBHBZeDZeo?authuser=0&amp;hl=en&amp;rclk=1"/>
    <s v="Chay Xanh - Green Vegan Food (Veggie Saigon)"/>
    <x v="5"/>
    <n v="90"/>
    <s v="₫1–100,000"/>
    <x v="0"/>
    <s v="&quot; was delicious and it had a really relaxing atmosphere.&quot;"/>
    <s v="237/40 Đ. Đỗ Thị Lời"/>
    <n v="10.78609"/>
    <n v="106.671357"/>
    <x v="2"/>
    <x v="13"/>
    <x v="2"/>
    <x v="0"/>
    <x v="12"/>
    <x v="0"/>
    <s v="Mixed local + English-facing"/>
    <x v="0"/>
    <n v="1"/>
    <n v="0"/>
  </r>
  <r>
    <s v="https://www.google.com/maps/place/H%C6%B0%C6%A1ng+B%E1%BB%91n+M%C3%B9a+Coffee/data=!4m7!3m6!1s0x31752f92ee2dc7df:0x2415fa6a33541a3a!8m2!3d10.7868864!4d106.6922142!16s%2Fg%2F11kj8p4vb8!19sChIJ38ct7pIvdTEROhpUM2r6FSQ?authuser=0&amp;hl=en&amp;rclk=1"/>
    <s v="Hương Bốn Mùa Coffee"/>
    <x v="5"/>
    <n v="69"/>
    <s v="₫1–100,000"/>
    <x v="1"/>
    <s v="&quot;The taste was incredible—I could hardly believe it was plant-based!&quot; "/>
    <s v="Đ. Trương Quyền"/>
    <n v="10.7868864"/>
    <n v="106.6922142"/>
    <x v="2"/>
    <x v="11"/>
    <x v="2"/>
    <x v="1"/>
    <x v="13"/>
    <x v="4"/>
    <s v="English / international-facing"/>
    <x v="1"/>
    <n v="1"/>
    <n v="1"/>
  </r>
  <r>
    <s v="https://www.google.com/maps/place/Vegan+Kitchen+An+Nhien+Vien/data=!4m7!3m6!1s0x31752f00203f4c53:0xc832b8014a4368ca!8m2!3d10.7757216!4d106.6747094!16s%2Fg%2F11xkn9xvrq!19sChIJU0w_IAAvdTERymhDSgG4Msg?authuser=0&amp;hl=en&amp;rclk=1"/>
    <s v="Vegan Kitchen An Nhien Vien"/>
    <x v="0"/>
    <n v="51"/>
    <s v="₫1–100,000"/>
    <x v="0"/>
    <s v="&quot;A pleasant hidden away on the back street.&quot;"/>
    <s v="392/20/64, Cao Thắng"/>
    <n v="10.775721600000001"/>
    <n v="106.6747094"/>
    <x v="2"/>
    <x v="14"/>
    <x v="2"/>
    <x v="0"/>
    <x v="14"/>
    <x v="0"/>
    <s v="English / international-facing"/>
    <x v="0"/>
    <n v="1"/>
    <n v="0"/>
  </r>
  <r>
    <s v="https://www.google.com/maps/place/Vegan+Pho+Nhu+Restaurant/data=!4m7!3m6!1s0x31752f330af86531:0x389be670d1d0c33!8m2!3d10.787003!4d106.6923163!16s%2Fg%2F11h7s4ng65!19sChIJMWX4CjMvdTERMwwdDWe-iQM?authuser=0&amp;hl=en&amp;rclk=1"/>
    <s v="Vegan Pho Nhu Restaurant"/>
    <x v="5"/>
    <n v="23"/>
    <s v="₫1–100,000"/>
    <x v="1"/>
    <s v="&quot;Very flavorful, fun, and creative dishes!&quot;"/>
    <s v="54 Đ. Trương Quyền"/>
    <n v="10.787003"/>
    <n v="106.6923163"/>
    <x v="2"/>
    <x v="11"/>
    <x v="2"/>
    <x v="1"/>
    <x v="76"/>
    <x v="1"/>
    <s v="English / international-facing"/>
    <x v="0"/>
    <n v="1"/>
    <n v="0"/>
  </r>
  <r>
    <s v="https://www.google.com/maps/place/Baba%27s+Kitchen+Indian+Restaurant+-+Thao+Dien/data=!4m7!3m6!1s0x3175262237da0859:0x2e8c079ba024e026!8m2!3d10.8055277!4d106.733663!16s%2Fg%2F11dyz97wlm!19sChIJWQjaNyImdTERJuAkoJsHjC4?authuser=0&amp;hl=en&amp;rclk=1"/>
    <s v="Baba's Kitchen Indian Restaurant - Thao Dien"/>
    <x v="4"/>
    <n v="2258"/>
    <s v="₫200–300K"/>
    <x v="8"/>
    <s v="&quot;The menu has a great variety of options, including plenty for vegetarians.&quot; "/>
    <s v="35 Lê Văn Miến"/>
    <n v="10.805527700000001"/>
    <n v="106.73366300000001"/>
    <x v="3"/>
    <x v="15"/>
    <x v="1"/>
    <x v="3"/>
    <x v="0"/>
    <x v="2"/>
    <s v="English / international-facing"/>
    <x v="0"/>
    <n v="3"/>
    <n v="0"/>
  </r>
  <r>
    <s v="https://www.google.com/maps/place/CHAY+GARDEN+Xu%C3%A2n+Th%E1%BB%A7y+-+Vegetarian+Restaurant+%26+Tea+House/data=!4m7!3m6!1s0x317527baef2e86b7:0x74d3ba96e8dbab1!8m2!3d10.8029541!4d106.7312266!16s%2Fg%2F11sttt9pwl!19sChIJt4Yu77ondTERsbqNbqk7TQc?authuser=0&amp;hl=en&amp;rclk=1"/>
    <s v="CHAY GARDEN Xuân Thủy - Vegetarian Restaurant &amp; Tea House"/>
    <x v="4"/>
    <n v="1644"/>
    <s v="₫200–300K"/>
    <x v="2"/>
    <s v="&quot;delicious , good space and service, worth the experience&quot;"/>
    <s v="52 Xuân Thủy"/>
    <n v="10.802954099999999"/>
    <n v="106.7312266"/>
    <x v="3"/>
    <x v="15"/>
    <x v="1"/>
    <x v="0"/>
    <x v="1"/>
    <x v="4"/>
    <s v="Mixed local + English-facing"/>
    <x v="1"/>
    <n v="3"/>
    <n v="1"/>
  </r>
  <r>
    <s v="https://www.google.com/maps/place/Hum+Garden+-+Healthy+Veggies+Delights/data=!4m7!3m6!1s0x317526146200ff4b:0xe3bd3251a80b0465!8m2!3d10.8042095!4d106.7440478!16s%2Fg%2F11d_v9rggx!19sChIJS_8AYhQmdTERZQQLqFEyveM?authuser=0&amp;hl=en&amp;rclk=1"/>
    <s v="Hum Garden - Healthy Veggies Delights"/>
    <x v="3"/>
    <n v="1504"/>
    <s v="₫200–300K"/>
    <x v="0"/>
    <s v="&quot;Delicious in a beautiful garden-like setting.&quot;"/>
    <s v="32 Đ. Số 10"/>
    <n v="10.804209500000001"/>
    <n v="106.7440478"/>
    <x v="3"/>
    <x v="15"/>
    <x v="1"/>
    <x v="0"/>
    <x v="2"/>
    <x v="4"/>
    <s v="English / international-facing"/>
    <x v="1"/>
    <n v="3"/>
    <n v="1"/>
  </r>
  <r>
    <s v="https://www.google.com/maps/place/ChanChan+Vegan+Noodle/data=!4m7!3m6!1s0x3175274bf6f32151:0x1a7edc796d12db41!8m2!3d10.8041987!4d106.7335668!16s%2Fg%2F11y37b7__5!19sChIJUSHz9ksndTERQdsSbXncfho?authuser=0&amp;hl=en&amp;rclk=1"/>
    <s v="ChanChan Vegan Noodle"/>
    <x v="5"/>
    <n v="1219"/>
    <s v="₫100–200K"/>
    <x v="8"/>
    <s v="&quot;100% , unique dishes, super fast service, great prices.&quot;"/>
    <s v="25A Ngô Quang Huy"/>
    <n v="10.804198700000001"/>
    <n v="106.73356680000001"/>
    <x v="3"/>
    <x v="15"/>
    <x v="0"/>
    <x v="3"/>
    <x v="3"/>
    <x v="1"/>
    <s v="English / international-facing"/>
    <x v="0"/>
    <n v="2"/>
    <n v="0"/>
  </r>
  <r>
    <s v="https://www.google.com/maps/place/Nh%C3%A0+H%C3%A0ng+Chay+KIM+SA+-+Chi+Nh%C3%A1nh+Th%E1%BA%A3o+%C4%90i%E1%BB%81n+Premium+%28KIM+SA+Vegetarian+%26+Garden+Restaurant%29/data=!4m7!3m6!1s0x31752782fe504de9:0xc450699a0c319eab!8m2!3d10.8086875!4d106.7287477!16s%2Fg%2F11w2jtpvff!19sChIJ6U1Q_oIndTERq54xDJppUMQ?authuser=0&amp;hl=en&amp;rclk=1"/>
    <s v="Nhà Hàng Chay KIM SA - Chi Nhánh Thảo Điền Premium (KIM SA Vegetarian &amp; Garden Restaurant)"/>
    <x v="0"/>
    <n v="1008"/>
    <s v="₫1–100,000"/>
    <x v="0"/>
    <s v="&quot;Delicious with a very zen and relaxing garden to dine in!&quot;"/>
    <s v="27 Đường Số 59"/>
    <n v="10.8086875"/>
    <n v="106.7287477"/>
    <x v="3"/>
    <x v="15"/>
    <x v="2"/>
    <x v="0"/>
    <x v="74"/>
    <x v="2"/>
    <s v="Mixed local + English-facing"/>
    <x v="0"/>
    <n v="1"/>
    <n v="0"/>
  </r>
  <r>
    <s v="https://www.google.com/maps/place/Kashew+Cheese+Deli/data=!4m7!3m6!1s0x3175274ee9f5fb59:0x6c9e640fb0838eee!8m2!3d10.80339!4d106.7392438!16s%2Fg%2F11h40yrh_w!19sChIJWfv16U4ndTER7o6DsA9knmw?authuser=0&amp;hl=en&amp;rclk=1"/>
    <s v="Kashew Cheese Deli"/>
    <x v="6"/>
    <n v="828"/>
    <s v="₫100–200K"/>
    <x v="5"/>
    <s v="&quot;The aubergine tomato and cheese pasta is the best pasta I've ever had.&quot;"/>
    <s v="14 Trần Ngọc Diện"/>
    <n v="10.80339"/>
    <n v="106.7392438"/>
    <x v="3"/>
    <x v="15"/>
    <x v="0"/>
    <x v="0"/>
    <x v="5"/>
    <x v="4"/>
    <s v="English / international-facing"/>
    <x v="1"/>
    <n v="2"/>
    <n v="1"/>
  </r>
  <r>
    <s v="https://www.google.com/maps/place/METTA+Vegetarian+Restaurant/data=!4m7!3m6!1s0x31752f3301a24a0f:0x1d144e41c931f0e0!8m2!3d10.797603!4d106.7415085!16s%2Fg%2F11d_71jz5w!19sChIJD0qiATMvdTER4PAxyUFOFB0?authuser=0&amp;hl=en&amp;rclk=1"/>
    <s v="METTA Vegetarian Restaurant"/>
    <x v="2"/>
    <n v="712"/>
    <s v="₫100–200K"/>
    <x v="1"/>
    <s v="&quot;Taste is good, wide variety and options are healthy.&quot; "/>
    <s v="Số 6 Đ. Số 19"/>
    <n v="10.797603000000001"/>
    <n v="106.74150849999999"/>
    <x v="3"/>
    <x v="16"/>
    <x v="0"/>
    <x v="1"/>
    <x v="6"/>
    <x v="2"/>
    <s v="English / international-facing"/>
    <x v="0"/>
    <n v="2"/>
    <n v="0"/>
  </r>
  <r>
    <s v="https://www.google.com/maps/place/L%C3%A9gumes+Vietnam+-+Healthy+Groceries,+Juice,+Acai,+Smoothie+Bar/data=!4m7!3m6!1s0x3175277f33c4dabf:0xc2c4ce7c68a6ae4e!8m2!3d10.8035862!4d106.7284826!16s%2Fg%2F11h1z1t6x8!19sChIJv9rEM38ndTERTq6maHzOxMI?authuser=0&amp;hl=en&amp;rclk=1"/>
    <s v="Légumes Vietnam - Healthy Groceries, Juice, Acai, Smoothie Bar"/>
    <x v="4"/>
    <n v="649"/>
    <s v="₫200–300K"/>
    <x v="1"/>
    <s v="&quot;The is good, and they have so many"/>
    <s v="40 Đ. Nguyễn Cừ"/>
    <n v="10.8035862"/>
    <n v="106.72848260000001"/>
    <x v="3"/>
    <x v="15"/>
    <x v="1"/>
    <x v="1"/>
    <x v="7"/>
    <x v="4"/>
    <s v="English / international-facing"/>
    <x v="1"/>
    <n v="3"/>
    <n v="1"/>
  </r>
  <r>
    <s v="https://www.google.com/maps/place/Nh%C3%A0+h%C3%A0ng+chay+Ph%E1%BA%A1m+Nghi%C3%AAm+Trai+-+Bongensai+Vegetarian/data=!4m7!3m6!1s0x3175271f0dc6ba31:0x42dc32368dfee0b!8m2!3d10.802349!4d106.7371597!16s%2Fg%2F11smbkhjv9!19sChIJMbrGDR8ndTERC-7faCPDLQQ?authuser=0&amp;hl=en&amp;rclk=1"/>
    <s v="Nhà hàng chay Phạm Nghiêm Trai - Bongensai Vegetarian"/>
    <x v="4"/>
    <n v="629"/>
    <s v="₫200–300K"/>
    <x v="5"/>
    <s v="&quot;Quiet, peaceful and interesting takes on Japanese"/>
    <s v="49 Nguyễn Đăng Giai"/>
    <n v="10.802349"/>
    <n v="106.73715970000001"/>
    <x v="3"/>
    <x v="15"/>
    <x v="1"/>
    <x v="0"/>
    <x v="8"/>
    <x v="3"/>
    <s v="Mixed local + English-facing"/>
    <x v="0"/>
    <n v="3"/>
    <n v="0"/>
  </r>
  <r>
    <s v="https://www.google.com/maps/place/N%C3%9AC+Kitchen+%26+Bar/data=!4m7!3m6!1s0x317527b719420b0b:0x6caea65e9539b641!8m2!3d10.801888!4d106.7354722!16s%2Fg%2F11sv3mb2d2!19sChIJCwtCGbcndTERQbY5lV6mrmw?authuser=0&amp;hl=en&amp;rclk=1"/>
    <s v="NÚC Kitchen &amp; Bar"/>
    <x v="0"/>
    <n v="525"/>
    <s v="₫200–300K"/>
    <x v="1"/>
    <s v="&quot;Delicious nutritious , reasonable prices, enthusiastic staff&quot;"/>
    <s v="08 Nguyễn Đăng Giai"/>
    <n v="10.801888"/>
    <n v="106.7354722"/>
    <x v="3"/>
    <x v="15"/>
    <x v="1"/>
    <x v="1"/>
    <x v="9"/>
    <x v="2"/>
    <s v="English / international-facing"/>
    <x v="0"/>
    <n v="3"/>
    <n v="0"/>
  </r>
  <r>
    <s v="https://www.google.com/maps/place/Nh%C3%A0+h%C3%A0ng+chay+Du+Y%C3%AAn+Vegetarian+-+Th%E1%BA%A3o+%C4%90i%E1%BB%81n+Qu%E1%BA%ADn+2/data=!4m7!3m6!1s0x3175275451ca0d6b:0xa3313f7edee87dad!8m2!3d10.8042665!4d106.7443254!16s%2Fg%2F11v3mhc2b7!19sChIJaw3KUVQndTERrX3o3n4_MaM?authuser=0&amp;hl=en&amp;rclk=1"/>
    <s v="Nhà hàng chay Du Yên Vegetarian - Thảo Điền Quận 2"/>
    <x v="5"/>
    <n v="513"/>
    <s v="₫100–200K"/>
    <x v="5"/>
    <s v="&quot;Actual excellence in , service, decor.&quot;"/>
    <s v="26B Đ. Số 10"/>
    <n v="10.804266500000001"/>
    <n v="106.74432539999999"/>
    <x v="3"/>
    <x v="15"/>
    <x v="0"/>
    <x v="0"/>
    <x v="10"/>
    <x v="3"/>
    <s v="Mixed local + English-facing"/>
    <x v="0"/>
    <n v="2"/>
    <n v="0"/>
  </r>
  <r>
    <s v="https://www.google.com/maps/place/Zeroism+Vegan+-+Caf%C3%A9+%26+Sourdough+Bakery/data=!4m7!3m6!1s0x317527d5334c31fd:0x37eddea14d7f67f9!8m2!3d10.8038578!4d106.7284153!16s%2Fg%2F11jbkcnttl!19sChIJ_TFMM9UndTER-Wd_TaHe7Tc?authuser=0&amp;hl=en&amp;rclk=1"/>
    <s v="Zeroism Vegan - Café &amp; Sourdough Bakery"/>
    <x v="3"/>
    <n v="462"/>
    <s v="₫100–200K"/>
    <x v="3"/>
    <s v="&quot;Amazing a big variety of"/>
    <s v="50 Đ. Nguyễn Cừ"/>
    <n v="10.803857799999999"/>
    <n v="106.72841529999999"/>
    <x v="3"/>
    <x v="15"/>
    <x v="0"/>
    <x v="0"/>
    <x v="11"/>
    <x v="4"/>
    <s v="English / international-facing"/>
    <x v="1"/>
    <n v="2"/>
    <n v="1"/>
  </r>
  <r>
    <s v="https://www.google.com/maps/place/Chi+Cao+Vegetarian+Restaurant/data=!4m7!3m6!1s0x3175275a60e9c18b:0x362730d2bb93bcdb!8m2!3d10.7961531!4d106.7310219!16s%2Fg%2F11s7p7hkyq!19sChIJi8HpYFondTER27yTu9IwJzY?authuser=0&amp;hl=en&amp;rclk=1"/>
    <s v="Chi Cao Vegetarian Restaurant"/>
    <x v="3"/>
    <n v="394"/>
    <s v="₫1–100,000"/>
    <x v="5"/>
    <s v="&quot;My fav spot in An Phu, nurturing"/>
    <s v="58A Trần Não"/>
    <n v="10.7961531"/>
    <n v="106.7310219"/>
    <x v="3"/>
    <x v="16"/>
    <x v="2"/>
    <x v="0"/>
    <x v="12"/>
    <x v="2"/>
    <s v="English / international-facing"/>
    <x v="0"/>
    <n v="1"/>
    <n v="0"/>
  </r>
  <r>
    <s v="https://www.google.com/maps/place/Nho%C3%A0n+-+Nh%C3%A0+h%C3%A0ng+chay+%2F+Cafe/data=!4m7!3m6!1s0x31752772508925a3:0xb8011424a00696cd!8m2!3d10.8089914!4d106.7536086!16s%2Fg%2F11vlhzkhxp!19sChIJoyWJUHIndTERzZYGoCQUAbg?authuser=0&amp;hl=en&amp;rclk=1"/>
    <s v="Nhoàn - Nhà hàng chay / Cafe"/>
    <x v="0"/>
    <n v="334"/>
    <s v="₫100–200K"/>
    <x v="5"/>
    <s v="&quot;I recently dined at this (2 times) and was impressed.&quot;"/>
    <s v="4 Đặng Tiến Đông"/>
    <n v="10.8089914"/>
    <n v="106.75360860000001"/>
    <x v="3"/>
    <x v="15"/>
    <x v="0"/>
    <x v="0"/>
    <x v="13"/>
    <x v="4"/>
    <s v="Mixed local + English-facing"/>
    <x v="1"/>
    <n v="2"/>
    <n v="1"/>
  </r>
  <r>
    <s v="https://www.google.com/maps/place/Nho%C3%A0n+-+Nh%C3%A0+h%C3%A0ng+chay+%2F+Cafe/data=!4m7!3m6!1s0x31752772508925a3:0xb8011424a00696cd!8m2!3d10.808991!4d106.753609!16s%2Fg%2F11vlhzkhxp!19sChIJoyWJUHIndTERzZYGoCQUAbg?authuser=0&amp;hl=en&amp;rclk=1"/>
    <s v="Nhoàn - Nhà hàng chay / Cafe"/>
    <x v="0"/>
    <n v="333"/>
    <s v="₫200–300K"/>
    <x v="5"/>
    <s v="Dine-in "/>
    <s v="4 Đặng Tiến Đông"/>
    <n v="10.808991000000001"/>
    <n v="106.753609"/>
    <x v="3"/>
    <x v="15"/>
    <x v="1"/>
    <x v="0"/>
    <x v="14"/>
    <x v="4"/>
    <s v="Mixed local + English-facing"/>
    <x v="1"/>
    <n v="3"/>
    <n v="1"/>
  </r>
  <r>
    <s v="https://www.google.com/maps/place/AMAVI+KOM+%26+VEGAN/data=!4m7!3m6!1s0x317527c7b7e831c1:0x3d9981b0a6e32f4e!8m2!3d10.8065373!4d106.7308124!16s%2Fg%2F11ln2xr59y!19sChIJwTHot8cndTERTi_jprCBmT0?authuser=0&amp;hl=en&amp;rclk=1"/>
    <s v="AMAVI KOM &amp; VEGAN"/>
    <x v="4"/>
    <n v="308"/>
    <s v="₫100–200K"/>
    <x v="1"/>
    <s v="&quot;We loved our meals, fabulous kombucha and very attentive staff.&quot;"/>
    <s v="61-63 Quốc Hương"/>
    <n v="10.8065373"/>
    <n v="106.7308124"/>
    <x v="3"/>
    <x v="15"/>
    <x v="0"/>
    <x v="1"/>
    <x v="75"/>
    <x v="0"/>
    <s v="English / international-facing"/>
    <x v="0"/>
    <n v="2"/>
    <n v="0"/>
  </r>
  <r>
    <s v="https://www.google.com/maps/place/Thien+Duyen+Vegetarian+Restaurant/data=!4m7!3m6!1s0x317527f623e2f729:0xb4a0fe4c5a87ee5e!8m2!3d10.8031576!4d106.752121!16s%2Fg%2F11q4h7ld4x!19sChIJKffiI_YndTERXu6HWkz-oLQ?authuser=0&amp;hl=en&amp;rclk=1"/>
    <s v="Thien Duyen Vegetarian Restaurant"/>
    <x v="5"/>
    <n v="265"/>
    <s v="₫100–200K"/>
    <x v="5"/>
    <s v="&quot;Southern is great... a large space.&quot;"/>
    <s v="505B Võ Nguyên Giáp"/>
    <n v="10.8031576"/>
    <n v="106.752121"/>
    <x v="3"/>
    <x v="15"/>
    <x v="0"/>
    <x v="0"/>
    <x v="15"/>
    <x v="2"/>
    <s v="English / international-facing"/>
    <x v="0"/>
    <n v="2"/>
    <n v="0"/>
  </r>
  <r>
    <s v="https://www.google.com/maps/place/Ono+Poke+Co./data=!4m7!3m6!1s0x317527ff6c8c789d:0xb5f6b922b7755779!8m2!3d10.8037164!4d106.7349952!16s%2Fg%2F11ght0_w1z!19sChIJnXiMbP8ndTEReVd1tyK59rU?authuser=0&amp;hl=en&amp;rclk=1"/>
    <s v="Ono Poke Co."/>
    <x v="5"/>
    <n v="190"/>
    <s v="₫100–200K"/>
    <x v="0"/>
    <s v="&quot;Very nice healthy ,well done well prepared and huge portion.&quot;"/>
    <s v="94 Xuân Thủy"/>
    <n v="10.803716400000001"/>
    <n v="106.7349952"/>
    <x v="3"/>
    <x v="15"/>
    <x v="0"/>
    <x v="0"/>
    <x v="76"/>
    <x v="0"/>
    <s v="English / international-facing"/>
    <x v="0"/>
    <n v="2"/>
    <n v="0"/>
  </r>
  <r>
    <s v="https://www.google.com/maps/place/Soha+plant-based/data=!4m7!3m6!1s0x3175270047d02f4f:0x177c4be4e72781ba!8m2!3d10.8060957!4d106.7407594!16s%2Fg%2F11yd9wnxp4!19sChIJTy_QRwAndTERuoEn5-RLfBc?authuser=0&amp;hl=en&amp;rclk=1"/>
    <s v="Soha plant-based"/>
    <x v="0"/>
    <n v="169"/>
    <s v="₫200–300K"/>
    <x v="4"/>
    <s v="&quot;soooo yummy and healthy, great service, and atmosphere.&quot; "/>
    <s v="39 Trần Ngọc Diện"/>
    <n v="10.8060957"/>
    <n v="106.7407594"/>
    <x v="3"/>
    <x v="15"/>
    <x v="1"/>
    <x v="0"/>
    <x v="16"/>
    <x v="0"/>
    <s v="English / international-facing"/>
    <x v="0"/>
    <n v="3"/>
    <n v="0"/>
  </r>
  <r>
    <s v="https://www.google.com/maps/place/Green+Box+%7C+%C4%90.+L%C3%AA+V%C4%83n+Mi%E1%BA%BFn+%7C+Th%E1%BA%A3o+%C4%90i%E1%BB%81n/data=!4m7!3m6!1s0x31752f3e15bc4c0b:0x29925267cd357e85!8m2!3d10.804643!4d106.732175!16s%2Fg%2F11jmzky2v3!19sChIJC0y8FT4vdTERhX41zWdSkik?authuser=0&amp;hl=en&amp;rclk=1"/>
    <s v="Green Box | Đ. Lê Văn Miến | Thảo Điền"/>
    <x v="3"/>
    <n v="147"/>
    <s v="₫100–200K"/>
    <x v="5"/>
    <s v="&quot;Accommodating, exceptional attention to detail and great healthy variety.&quot; "/>
    <s v="6 Lê Văn Miến"/>
    <n v="10.804643"/>
    <n v="106.732175"/>
    <x v="3"/>
    <x v="15"/>
    <x v="0"/>
    <x v="0"/>
    <x v="18"/>
    <x v="0"/>
    <s v="English / international-facing"/>
    <x v="0"/>
    <n v="2"/>
    <n v="0"/>
  </r>
  <r>
    <s v="https://www.google.com/maps/place/Green+Monkey+Saigon+Choose+Your+Mood+%F0%9F%90%92:+FUEL+%7C+GLOW+%7C+TREAT/data=!4m7!3m6!1s0x317527f6e11d1ec3:0x7cfd7ecaff7469f7!8m2!3d10.803062!4d106.7292159!16s%2Fg%2F11s1qxcxzm!19sChIJwx4d4fYndTER92l0_8p-_Xw?authuser=0&amp;hl=en&amp;rclk=1"/>
    <s v="Green Monkey Saigon Choose Your Mood 🐒: FUEL | GLOW | TREAT"/>
    <x v="4"/>
    <n v="142"/>
    <s v="₫100–200K"/>
    <x v="1"/>
    <s v="&quot;Delicious and healthy with big enough sizes.&quot;"/>
    <s v="4 Đ. Đỗ Quang"/>
    <n v="10.803062000000001"/>
    <n v="106.7292159"/>
    <x v="3"/>
    <x v="15"/>
    <x v="0"/>
    <x v="1"/>
    <x v="20"/>
    <x v="0"/>
    <s v="English / international-facing"/>
    <x v="0"/>
    <n v="2"/>
    <n v="0"/>
  </r>
  <r>
    <s v="https://www.google.com/maps/place/Rawberry/data=!4m7!3m6!1s0x31752749687d03d3:0xed2869141b09c7c8!8m2!3d10.8047387!4d106.7285675!16s%2Fg%2F11kkb3h35d!19sChIJ0wN9aEkndTERyMcJGxRpKO0?authuser=0&amp;hl=en&amp;rclk=1"/>
    <s v="Rawberry"/>
    <x v="4"/>
    <n v="135"/>
    <s v="₫100–200K"/>
    <x v="5"/>
    <s v="&quot;Cute interior, good quality cakes, friendly staff, small menu&quot;"/>
    <s v="52 Đ. Đỗ Quang"/>
    <n v="10.8047387"/>
    <n v="106.7285675"/>
    <x v="3"/>
    <x v="15"/>
    <x v="0"/>
    <x v="0"/>
    <x v="21"/>
    <x v="0"/>
    <s v="English / international-facing"/>
    <x v="0"/>
    <n v="2"/>
    <n v="0"/>
  </r>
  <r>
    <s v="https://www.google.com/maps/place/Dieu+Thien+Vegetarian+Restaurant/data=!4m7!3m6!1s0x3175270013f751cd:0x998aab24678048d3!8m2!3d10.7940178!4d106.741034!16s%2Fg%2F11y42gs8gy!19sChIJzVH3EwAndTER00iAZySripk?authuser=0&amp;hl=en&amp;rclk=1"/>
    <s v="Dieu Thien Vegetarian Restaurant"/>
    <x v="5"/>
    <n v="78"/>
    <s v="₫1–100,000"/>
    <x v="1"/>
    <s v="&quot;Healthy, rich, diverse, delicious and very cheap :)&quot; "/>
    <s v="130 Trần Lựu"/>
    <n v="10.794017800000001"/>
    <n v="106.741034"/>
    <x v="3"/>
    <x v="16"/>
    <x v="2"/>
    <x v="1"/>
    <x v="22"/>
    <x v="2"/>
    <s v="English / international-facing"/>
    <x v="0"/>
    <n v="1"/>
    <n v="0"/>
  </r>
  <r>
    <s v="https://www.google.com/maps/place/Ch%C3%A2n+Nh%C6%B0+Vegetarian+Bistro/data=!4m7!3m6!1s0x317527489c8d0e6d:0x281c35153dcc3ed2!8m2!3d10.7921758!4d106.745538!16s%2Fg%2F11v_91zzs_!19sChIJbQ6NnEgndTER0j7MPRU1HCg?authuser=0&amp;hl=en&amp;rclk=1"/>
    <s v="Chân Như Vegetarian Bistro"/>
    <x v="7"/>
    <n v="63"/>
    <s v="₫1–100,000"/>
    <x v="14"/>
    <s v="&quot;I can recommend bun hue chay&quot; "/>
    <s v="252 Nguyễn Hoàng"/>
    <n v="10.792175800000001"/>
    <n v="106.745538"/>
    <x v="3"/>
    <x v="16"/>
    <x v="2"/>
    <x v="2"/>
    <x v="24"/>
    <x v="2"/>
    <s v="English / international-facing"/>
    <x v="0"/>
    <n v="1"/>
    <n v="0"/>
  </r>
  <r>
    <s v="https://www.google.com/maps/place/Zero+Plant-based+Th%E1%BA%A3o+%C4%90i%E1%BB%81n+-+Eatery+%26+Caf%C3%A9/data=!4m7!3m6!1s0x3175278ac38574c5:0x8ea96d82eee93f17!8m2!3d10.8041995!4d106.7436151!16s%2Fg%2F11x1fcy3g6!19sChIJxXSFw4ondTERFz_p7oJtqY4?authuser=0&amp;hl=en&amp;rclk=1"/>
    <s v="Zero Plant-based Thảo Điền - Eatery &amp; Café"/>
    <x v="4"/>
    <n v="53"/>
    <s v="₫1–100,000"/>
    <x v="1"/>
    <s v="&quot;Service was fast, was delicious and all"/>
    <s v="36 Đ. Số 10"/>
    <n v="10.804199499999999"/>
    <n v="106.7436151"/>
    <x v="3"/>
    <x v="15"/>
    <x v="2"/>
    <x v="1"/>
    <x v="26"/>
    <x v="4"/>
    <s v="English / international-facing"/>
    <x v="1"/>
    <n v="1"/>
    <n v="1"/>
  </r>
  <r>
    <s v="https://www.google.com/maps/place/Shelley%27s+Vegetarian+Comfort+Food/data=!4m7!3m6!1s0x317527b319afd4c5:0x10501fb041bc80c1!8m2!3d10.8064393!4d106.7349425!16s%2Fg%2F11hzz6_719!19sChIJxdSvGbMndTERwYC8QbAfUBA?authuser=0&amp;hl=en&amp;rclk=1"/>
    <s v="Shelley's Vegetarian Comfort Food"/>
    <x v="4"/>
    <n v="36"/>
    <s v="₫200–300K"/>
    <x v="3"/>
    <s v="&quot;They have a very large menu.&quot;"/>
    <s v="71 Thảo Điền"/>
    <n v="10.806439299999999"/>
    <n v="106.7349425"/>
    <x v="3"/>
    <x v="15"/>
    <x v="1"/>
    <x v="0"/>
    <x v="27"/>
    <x v="0"/>
    <s v="English / international-facing"/>
    <x v="0"/>
    <n v="3"/>
    <n v="0"/>
  </r>
  <r>
    <s v="https://www.google.com/maps/place/Papadums+Indian+Cuisine-+Box+Oi/data=!4m7!3m6!1s0x3175277d8366766f:0x9234e20b36ed8afc!8m2!3d10.8044683!4d106.7395548!16s%2Fg%2F11w95w6tg2!19sChIJb3Zmg30ndTER_IrtNgviNJI?authuser=0&amp;hl=en&amp;rclk=1"/>
    <s v="Papadums Indian Cuisine- Box Oi"/>
    <x v="4"/>
    <n v="33"/>
    <s v="₫100–200K"/>
    <x v="15"/>
    <s v="&quot;Very healthy yet super delicious, coming from high quality ingredients.&quot; "/>
    <s v="19 Đ. Trần Ngọc Diện, Thảo Điền, Quận 2, 19 Trần Ngọc Diện"/>
    <n v="10.8044683"/>
    <n v="106.73955479999999"/>
    <x v="3"/>
    <x v="15"/>
    <x v="0"/>
    <x v="3"/>
    <x v="28"/>
    <x v="2"/>
    <s v="English / international-facing"/>
    <x v="0"/>
    <n v="2"/>
    <n v="0"/>
  </r>
  <r>
    <s v="https://www.google.com/maps/place/Home+vegan+-+%C4%91%E1%BB%93+%C4%83n+chay+online+restaurant.+Giao+h%C3%A0ng+t%E1%BA%ADn+n%C6%A1i/data=!4m7!3m6!1s0x317527519da9bb41:0x3e74156dccba257e!8m2!3d10.8015544!4d106.7293157!16s%2Fg%2F11vz7jcqwr!19sChIJQbupnVEndTERfiW6zG0VdD4?authuser=0&amp;hl=en&amp;rclk=1"/>
    <s v="Home vegan - đồ ăn chay online restaurant. Giao hàng tận nơi"/>
    <x v="3"/>
    <n v="28"/>
    <s v="₫100–200K"/>
    <x v="1"/>
    <s v="&quot;Really delicious, healthy and affordable !&quot;"/>
    <s v="32 Đường số 54"/>
    <n v="10.801554400000001"/>
    <n v="106.7293157"/>
    <x v="3"/>
    <x v="15"/>
    <x v="0"/>
    <x v="1"/>
    <x v="30"/>
    <x v="0"/>
    <s v="Mixed local + English-facing"/>
    <x v="0"/>
    <n v="2"/>
    <n v="0"/>
  </r>
  <r>
    <s v="https://www.google.com/maps/place/Khai+T%C3%A2m+Vegetarian+Food/data=!4m7!3m6!1s0x3175270ee41ece0f:0xc449e97f9fa6da21!8m2!3d10.8060956!4d106.7510874!16s%2Fg%2F11y3_yv7sb!19sChIJD84e5A4ndTERIdqmn3_pScQ?authuser=0&amp;hl=en&amp;rclk=1"/>
    <s v="Khai Tâm Vegetarian Food"/>
    <x v="5"/>
    <n v="28"/>
    <s v="₫1–100,000"/>
    <x v="1"/>
    <s v="&quot;Exept the Curry, everything Else is actually .&quot;"/>
    <s v="28 Đường số 13"/>
    <n v="10.806095600000001"/>
    <n v="106.7510874"/>
    <x v="3"/>
    <x v="15"/>
    <x v="2"/>
    <x v="1"/>
    <x v="77"/>
    <x v="2"/>
    <s v="English / international-facing"/>
    <x v="0"/>
    <n v="1"/>
    <n v="0"/>
  </r>
  <r>
    <s v="https://www.google.com/maps/place/%28Qu%E1%BA%ADn+2%29+Qu%C3%A1n+Chay+-+%E1%BA%A8m+Th%E1%BB%B1c+Chay+T%C3%A2m+An+-+Vietnamese+Vegetarian+Bistro/data=!4m7!3m6!1s0x3175278a10adcaf3:0xd137f0f63549c38!8m2!3d10.7895584!4d106.7436764!16s%2Fg%2F11x2gc920d!19sChIJ88qtEIondTEROJxUYw9_Ew0?authuser=0&amp;hl=en&amp;rclk=1"/>
    <s v="(Quận 2) Quán Chay - Ẩm Thực Chay Tâm An - Vietnamese Vegetarian Bistro"/>
    <x v="5"/>
    <n v="27"/>
    <s v="₫100–200K"/>
    <x v="1"/>
    <s v="Dine-in No-contact delivery"/>
    <s v="311 M1, Đ. Số 7"/>
    <n v="10.789558400000001"/>
    <n v="106.7436764"/>
    <x v="3"/>
    <x v="16"/>
    <x v="0"/>
    <x v="1"/>
    <x v="31"/>
    <x v="2"/>
    <s v="Mixed local + English-facing"/>
    <x v="0"/>
    <n v="2"/>
    <n v="0"/>
  </r>
  <r>
    <s v="https://www.google.com/maps/place/Roots+%26+Rise/data=!4m7!3m6!1s0x3175270016f0c36d:0xf3263f08ab6aacf1!8m2!3d10.8120476!4d106.7348551!16s%2Fg%2F11wxpdc7xv!19sChIJbcPwFgAndTER8axqqwg_JvM?authuser=0&amp;hl=en&amp;rclk=1"/>
    <s v="Roots &amp; Rise"/>
    <x v="0"/>
    <n v="19"/>
    <s v="₫200–300K"/>
    <x v="6"/>
    <s v="&quot;Beautiful, serene little slice of heaven.&quot;"/>
    <s v="215H1C, Nguyễn Văn Hưởng"/>
    <n v="10.8120476"/>
    <n v="106.7348551"/>
    <x v="3"/>
    <x v="15"/>
    <x v="1"/>
    <x v="0"/>
    <x v="32"/>
    <x v="0"/>
    <s v="English / international-facing"/>
    <x v="0"/>
    <n v="3"/>
    <n v="0"/>
  </r>
  <r>
    <s v="https://www.google.com/maps/place/Casablanca+Moroccan+Flavors/data=!4m7!3m6!1s0x317527946c479a99:0xdd72205dc9cb9018!8m2!3d10.8044683!4d106.7395548!16s%2Fg%2F11yw2tslws!19sChIJmZpHbJQndTERGJDLyV0gct0?authuser=0&amp;hl=en&amp;rclk=1"/>
    <s v="Casablanca Moroccan Flavors"/>
    <x v="7"/>
    <n v="10"/>
    <s v="₫100–200K"/>
    <x v="5"/>
    <s v="&quot;The portion for each dish is huge, needs at least 2 people to finish.&quot; "/>
    <s v="19 Trần Ngọc Diện"/>
    <n v="10.8044683"/>
    <n v="106.73955479999999"/>
    <x v="3"/>
    <x v="15"/>
    <x v="0"/>
    <x v="0"/>
    <x v="33"/>
    <x v="2"/>
    <s v="English / international-facing"/>
    <x v="0"/>
    <n v="2"/>
    <n v="0"/>
  </r>
  <r>
    <s v="https://www.google.com/maps/place/Vegete+Vegetarian+ramen+%EF%BC%86+cafe/data=!4m7!3m6!1s0x3175279414e96b99:0x51b499a47f6e025!8m2!3d10.8030413!4d106.7323303!16s%2Fg%2F11z0wzz1rm!19sChIJmWvpFJQndTERJeD2R5pJGwU?authuser=0&amp;hl=en&amp;rclk=1"/>
    <s v="Vegete Vegetarian ramen ＆ cafe"/>
    <x v="7"/>
    <n v="4"/>
    <s v="₫100–200K"/>
    <x v="1"/>
    <s v=" "/>
    <s v="01, Lô B/64 Xuân Thủy"/>
    <n v="10.8030413"/>
    <n v="106.7323303"/>
    <x v="3"/>
    <x v="15"/>
    <x v="0"/>
    <x v="1"/>
    <x v="34"/>
    <x v="4"/>
    <s v="English / international-facing"/>
    <x v="1"/>
    <n v="2"/>
    <n v="1"/>
  </r>
  <r>
    <s v="https://www.google.com/maps/place/Chay+Tu%E1%BB%87+Garden+-+Nguy%E1%BB%85n+B%C3%ADnh/data=!4m7!3m6!1s0x31752f2581753a33:0x27d514c6cea786f8!8m2!3d10.7280502!4d106.7103638!16s%2Fg%2F11vxxvtf0g!19sChIJMzp1gSUvdTER-IanzsYU1Sc?authuser=0&amp;hl=en&amp;rclk=1"/>
    <s v="Chay Tuệ Garden - Nguyễn Bính"/>
    <x v="0"/>
    <n v="767"/>
    <s v=""/>
    <x v="0"/>
    <s v="&quot;Delicious in a relaxing place.&quot;"/>
    <s v="Nguyễn Bính/101 Khu Phố Mỹ Hoàng"/>
    <n v="10.7280502"/>
    <n v="106.7103638"/>
    <x v="4"/>
    <x v="17"/>
    <x v="3"/>
    <x v="0"/>
    <x v="0"/>
    <x v="2"/>
    <s v="Mixed local + English-facing"/>
    <x v="0"/>
    <n v="3"/>
    <n v="0"/>
  </r>
  <r>
    <s v="https://www.google.com/maps/place/AN+vegetarian+restaurant+%26+cafe/data=!4m7!3m6!1s0x317525ccb9333c99:0xda58d8a6074bac72!8m2!3d10.7198048!4d106.7311906!16s%2Fg%2F11fklj_sv0!19sChIJmTwzucwldTERcqxLB6bYWNo?authuser=0&amp;hl=en&amp;rclk=1"/>
    <s v="AN vegetarian restaurant &amp; cafe"/>
    <x v="5"/>
    <n v="738"/>
    <s v="₫200–300K"/>
    <x v="1"/>
    <s v="&quot;Best place for who eat , quiet, comfort and clean place.&quot;"/>
    <s v="Phố Tiểu Nam/75 Phú Mỹ Hưng"/>
    <n v="10.7198048"/>
    <n v="106.73119060000001"/>
    <x v="4"/>
    <x v="18"/>
    <x v="1"/>
    <x v="1"/>
    <x v="1"/>
    <x v="4"/>
    <s v="English / international-facing"/>
    <x v="1"/>
    <n v="3"/>
    <n v="1"/>
  </r>
  <r>
    <s v="https://www.google.com/maps/place/Nh%C3%A0+H%C3%A0ng+Sushi+Chay+TOJY/data=!4m7!3m6!1s0x31752f005e9f2a5f:0x727521e0d6107b87!8m2!3d10.7494948!4d106.7050264!16s%2Fg%2F11vx4fgthv!19sChIJXyqfXgAvdTERh3sQ1uAhdXI?authuser=0&amp;hl=en&amp;rclk=1"/>
    <s v="Nhà Hàng Sushi Chay TOJY"/>
    <x v="0"/>
    <n v="686"/>
    <s v="₫100–200K"/>
    <x v="8"/>
    <s v="&quot;Everybody was very nice and the options are amazing.&quot;"/>
    <s v="113 Lê Văn Lương"/>
    <n v="10.749494800000001"/>
    <n v="106.70502639999999"/>
    <x v="4"/>
    <x v="19"/>
    <x v="0"/>
    <x v="3"/>
    <x v="2"/>
    <x v="0"/>
    <s v="Mixed local + English-facing"/>
    <x v="0"/>
    <n v="2"/>
    <n v="0"/>
  </r>
  <r>
    <s v="https://www.google.com/maps/place/Nh%C3%A0+h%C3%A0ng+thu%E1%BA%A7n+chay+Ngon+Vegan+Dining+%26+Cafe+-+Nguy%E1%BB%85n+Cao/data=!4m7!3m6!1s0x31752f0043507b35:0xbd73279122c4ae3a!8m2!3d10.722411!4d106.7124706!16s%2Fg%2F11x6wzj1r5!19sChIJNXtQQwAvdTEROq7EIpEnc70?authuser=0&amp;hl=en&amp;rclk=1"/>
    <s v="Nhà hàng thuần chay Ngon Vegan Dining &amp; Cafe - Nguyễn Cao"/>
    <x v="4"/>
    <n v="659"/>
    <s v="₫100–200K"/>
    <x v="1"/>
    <s v="&quot;The portions are generous, yet the plating is neat and thoughtful.&quot; "/>
    <s v="135 Nguyễn Cao"/>
    <n v="10.722410999999999"/>
    <n v="106.7124706"/>
    <x v="4"/>
    <x v="17"/>
    <x v="0"/>
    <x v="1"/>
    <x v="3"/>
    <x v="4"/>
    <s v="Mixed local + English-facing"/>
    <x v="1"/>
    <n v="2"/>
    <n v="1"/>
  </r>
  <r>
    <s v="https://www.google.com/maps/place/Chay+Rau+C%E1%BB%A7+N%E1%BA%A5m+Vegan+L%C3%AA+V%C4%83n+L%C6%B0%C6%A1ng/data=!4m7!3m6!1s0x31752fb422f81a2f:0xd0f8a1aabe1bf6f6!8m2!3d10.7339125!4d106.7020228!16s%2Fg%2F11r9vj06bw!19sChIJLxr4IrQvdTER9vYbvqqh-NA?authuser=0&amp;hl=en&amp;rclk=1"/>
    <s v="Chay Rau Củ Nấm Vegan Lê Văn Lương"/>
    <x v="3"/>
    <n v="420"/>
    <s v="₫100–200K"/>
    <x v="6"/>
    <s v="&quot;We enjoyed a super tasty hotpot for 210k VND ($8) for 3 people.&quot;"/>
    <s v="557 Lê Văn Lương"/>
    <n v="10.733912500000001"/>
    <n v="106.70202279999999"/>
    <x v="4"/>
    <x v="20"/>
    <x v="0"/>
    <x v="0"/>
    <x v="73"/>
    <x v="0"/>
    <s v="Mixed local + English-facing"/>
    <x v="0"/>
    <n v="2"/>
    <n v="0"/>
  </r>
  <r>
    <s v="https://www.google.com/maps/place/AN+-+nh%C3%A0+h%C3%A0ng+chay+An+%26+cafe+-+Ph%E1%BA%A1m+Th%C3%A1i+B%C6%B0%E1%BB%9Dng/data=!4m7!3m6!1s0x31752f1b223d3a45:0x9f3b5d0dd2597ef3!8m2!3d10.7275792!4d106.7124718!16s%2Fg%2F11s57yrk_7!19sChIJRTo9IhsvdTER835Z0g1dO58?authuser=0&amp;hl=en&amp;rclk=1"/>
    <s v="AN - nhà hàng chay An &amp; cafe - Phạm Thái Bường"/>
    <x v="5"/>
    <n v="370"/>
    <s v="$$"/>
    <x v="1"/>
    <s v="&quot;It's my first experience and it's so delicious and healthy!&quot;"/>
    <s v="220 Phạm Thái Bường"/>
    <n v="10.727579199999999"/>
    <n v="106.7124718"/>
    <x v="4"/>
    <x v="17"/>
    <x v="3"/>
    <x v="1"/>
    <x v="74"/>
    <x v="4"/>
    <s v="Mixed local + English-facing"/>
    <x v="1"/>
    <n v="3"/>
    <n v="1"/>
  </r>
  <r>
    <s v="https://www.google.com/maps/place/Golden+Lotus+Vegan+Restaurant+-+Coffe/data=!4m7!3m6!1s0x31752f6551d478e1:0x9cded1a1ba44c85d!8m2!3d10.7234968!4d106.7281066!16s%2Fg%2F11vlwhs07c!19sChIJ4XjUUWUvdTERXchEuqHR3pw?authuser=0&amp;hl=en&amp;rclk=1"/>
    <s v="Golden Lotus Vegan Restaurant - Coffe"/>
    <x v="6"/>
    <n v="312"/>
    <s v="₫100–200K"/>
    <x v="1"/>
    <s v="&quot;Fantastic in Saigon, really nice staff and great service.&quot;"/>
    <s v="45 Đường C"/>
    <n v="10.723496799999999"/>
    <n v="106.7281066"/>
    <x v="4"/>
    <x v="18"/>
    <x v="0"/>
    <x v="1"/>
    <x v="4"/>
    <x v="0"/>
    <s v="English / international-facing"/>
    <x v="0"/>
    <n v="2"/>
    <n v="0"/>
  </r>
  <r>
    <s v="https://www.google.com/maps/place/The+Vegan+Garden+-+Nh%C3%A0+H%C3%A0ng+Chay+Qu%E1%BA%ADn+7/data=!4m7!3m6!1s0x31752fed34d4ddcf:0xe422b5198d38893b!8m2!3d10.7180448!4d106.7297147!16s%2Fg%2F11gvt72p1d!19sChIJz93UNO0vdTERO4k4jRm1IuQ?authuser=0&amp;hl=en&amp;rclk=1"/>
    <s v="The Vegan Garden - Nhà Hàng Chay Quận 7"/>
    <x v="9"/>
    <n v="276"/>
    <s v="₫100–200K"/>
    <x v="3"/>
    <s v="&quot;I learned that it was and prepared in-house which was enough for me.&quot;"/>
    <s v="Shop 3SB1-9 Số 2 Mỹ Viên Chung Cư Mỹ Viên P"/>
    <n v="10.718044799999999"/>
    <n v="106.7297147"/>
    <x v="4"/>
    <x v="18"/>
    <x v="0"/>
    <x v="0"/>
    <x v="5"/>
    <x v="0"/>
    <s v="Mixed local + English-facing"/>
    <x v="0"/>
    <n v="2"/>
    <n v="0"/>
  </r>
  <r>
    <s v="https://www.google.com/maps/place/Mantra+Vegetarian+Restaurant/data=!4m7!3m6!1s0x317525f4d06b5e2d:0xf8f9a7a57e6adbc8!8m2!3d10.7300534!4d106.7094791!16s%2Fg%2F11t5x6_5cn!19sChIJLV5r0PQldTERyNtqfqWn-fg?authuser=0&amp;hl=en&amp;rclk=1"/>
    <s v="Mantra Vegetarian Restaurant"/>
    <x v="6"/>
    <n v="252"/>
    <s v="₫100–200K"/>
    <x v="0"/>
    <s v="&quot;My meal tasted healthy, nutritious, and delicious!&quot; "/>
    <s v="SHOP HOUSE J040 CHUNG CƯ HƯNG VƯỢNG, 1 Đường số 6"/>
    <n v="10.730053399999999"/>
    <n v="106.7094791"/>
    <x v="4"/>
    <x v="17"/>
    <x v="0"/>
    <x v="0"/>
    <x v="6"/>
    <x v="2"/>
    <s v="English / international-facing"/>
    <x v="0"/>
    <n v="2"/>
    <n v="0"/>
  </r>
  <r>
    <s v="https://www.google.com/maps/place/Kashew+Cheese+Ph%C3%BA+M%E1%BB%B9+H%C6%B0ng/data=!4m7!3m6!1s0x317525b363cf29bb:0xd82702b9e55d2ff8!8m2!3d10.7208017!4d106.7272066!16s%2Fg%2F11txv99yl7!19sChIJuynPY7MldTER-C9d5bkCJ9g?authuser=0&amp;hl=en&amp;rclk=1"/>
    <s v="Kashew Cheese Phú Mỹ Hưng"/>
    <x v="6"/>
    <n v="226"/>
    <s v="₫200–300K"/>
    <x v="6"/>
    <s v="&quot;Delicious and wonderful environment.&quot;"/>
    <s v="The Ascentia, Khu Phố Mỹ Thái 2"/>
    <n v="10.720801700000001"/>
    <n v="106.7272066"/>
    <x v="4"/>
    <x v="18"/>
    <x v="1"/>
    <x v="0"/>
    <x v="7"/>
    <x v="0"/>
    <s v="English / international-facing"/>
    <x v="0"/>
    <n v="3"/>
    <n v="0"/>
  </r>
  <r>
    <s v="https://www.google.com/maps/place/T%E1%BB%8ANH+V%E1%BB%8A+Vegan+Restaurant+-+Caf%C3%A9+%26+Tea+House/data=!4m7!3m6!1s0x31752538eb4f5349:0xc89e6827652da1b0!8m2!3d10.723496!4d106.7280633!16s%2Fg%2F11z3mt_y0g!19sChIJSVNP6zgldTERsKEtZSdonsg?authuser=0&amp;hl=en&amp;rclk=1"/>
    <s v="TỊNH VỊ Vegan Restaurant - Café &amp; Tea House"/>
    <x v="7"/>
    <n v="56"/>
    <s v=""/>
    <x v="1"/>
    <s v="&quot;The very delicious and nice service.&quot;"/>
    <s v="45 Đường C"/>
    <n v="10.723496000000001"/>
    <n v="106.7280633"/>
    <x v="4"/>
    <x v="18"/>
    <x v="3"/>
    <x v="1"/>
    <x v="9"/>
    <x v="4"/>
    <s v="English / international-facing"/>
    <x v="1"/>
    <n v="3"/>
    <n v="1"/>
  </r>
  <r>
    <s v="https://www.google.com/maps/place/Green+%26+Greener+Vegetarian/data=!4m7!3m6!1s0x31752f8f7661799f:0xd011f7d60643435c!8m2!3d10.7333627!4d106.7068561!16s%2Fg%2F11xzt2d1s1!19sChIJn3lhdo8vdTERXENDBtb3EdA?authuser=0&amp;hl=en&amp;rclk=1"/>
    <s v="Green &amp; Greener Vegetarian"/>
    <x v="7"/>
    <n v="6"/>
    <s v=""/>
    <x v="1"/>
    <s v="&quot;Incredible friggin !&quot;"/>
    <s v="46 Nội Khu Hưng Gia 2"/>
    <n v="10.733362700000001"/>
    <n v="106.7068561"/>
    <x v="4"/>
    <x v="20"/>
    <x v="3"/>
    <x v="1"/>
    <x v="14"/>
    <x v="2"/>
    <s v="English / international-facing"/>
    <x v="0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81D4A-29F4-4A17-8752-6F24B26125B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D4:E10" firstHeaderRow="1" firstDataRow="1" firstDataCol="1"/>
  <pivotFields count="22">
    <pivotField showAll="0"/>
    <pivotField showAll="0"/>
    <pivotField showAll="0"/>
    <pivotField dataField="1"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Row" showAll="0" sortType="ascending">
      <items count="8">
        <item x="0"/>
        <item m="1" x="6"/>
        <item x="3"/>
        <item x="2"/>
        <item x="4"/>
        <item x="1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 v="5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Sum of No_of_reviews" fld="3" showDataAs="percentOfTotal" baseField="10" baseItem="0" numFmtId="10"/>
  </dataFields>
  <chartFormats count="6"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2D2F0-4F06-4922-AD82-2F73B895E14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4:B10" firstHeaderRow="1" firstDataRow="1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Row" showAll="0" sortType="ascending">
      <items count="8">
        <item x="0"/>
        <item m="1" x="6"/>
        <item x="3"/>
        <item x="2"/>
        <item x="4"/>
        <item x="1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 v="5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No of restaurant" fld="1" subtotal="count" baseField="10" baseItem="3"/>
  </dataFields>
  <chartFormats count="6">
    <chartFormat chart="2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7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7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7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7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3688B-2E51-4D74-B63E-E8C5BB4CB197}" name="PivotTable1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P6:Q11" firstHeaderRow="1" firstDataRow="1" firstDataCol="1" rowPageCount="1" colPageCount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6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1"/>
        <item x="0"/>
        <item m="1" x="6"/>
        <item x="2"/>
        <item x="4"/>
        <item x="3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95">
        <item x="0"/>
        <item x="1"/>
        <item x="2"/>
        <item x="3"/>
        <item x="73"/>
        <item h="1" x="74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75"/>
        <item h="1" x="15"/>
        <item h="1" x="76"/>
        <item h="1" x="16"/>
        <item h="1" x="17"/>
        <item h="1" x="18"/>
        <item h="1" x="19"/>
        <item h="1" x="20"/>
        <item h="1" x="21"/>
        <item h="1" x="23"/>
        <item h="1" x="22"/>
        <item h="1" x="24"/>
        <item h="1" x="25"/>
        <item h="1" x="26"/>
        <item h="1" x="27"/>
        <item h="1" x="28"/>
        <item h="1" x="29"/>
        <item h="1" x="77"/>
        <item h="1" x="30"/>
        <item h="1" x="31"/>
        <item h="1" x="32"/>
        <item h="1" x="33"/>
        <item h="1" x="34"/>
        <item h="1" x="35"/>
        <item h="1" m="1" x="80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8"/>
        <item h="1" x="47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m="1" x="81"/>
        <item h="1" m="1" x="83"/>
        <item h="1" m="1" x="84"/>
        <item h="1" x="61"/>
        <item h="1" x="62"/>
        <item h="1" m="1" x="85"/>
        <item h="1" m="1" x="86"/>
        <item h="1" m="1" x="87"/>
        <item h="1" m="1" x="89"/>
        <item h="1" m="1" x="90"/>
        <item h="1" x="67"/>
        <item h="1" x="68"/>
        <item h="1" x="69"/>
        <item h="1" m="1" x="92"/>
        <item h="1" m="1" x="94"/>
        <item h="1" m="1" x="78"/>
        <item h="1" x="59"/>
        <item h="1" x="60"/>
        <item h="1" x="63"/>
        <item h="1" x="64"/>
        <item h="1" x="65"/>
        <item h="1" x="66"/>
        <item h="1" m="1" x="79"/>
        <item h="1" x="70"/>
        <item h="1" x="71"/>
        <item h="1" x="72"/>
        <item h="1" m="1" x="82"/>
        <item h="1" m="1" x="88"/>
        <item h="1" m="1" x="91"/>
        <item h="1" m="1"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3"/>
    </i>
    <i>
      <x v="4"/>
    </i>
    <i>
      <x v="5"/>
    </i>
  </rowItems>
  <colItems count="1">
    <i/>
  </colItems>
  <pageFields count="1">
    <pageField fld="14" hier="-1"/>
  </pageFields>
  <dataFields count="1">
    <dataField name="Sum of No_of_review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88070-947C-45BD-9AE0-577BAB020DB2}" name="PivotTable9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K4:P32" firstHeaderRow="1" firstDataRow="2" firstDataCol="2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1"/>
        <item x="0"/>
        <item m="1" x="6"/>
        <item x="2"/>
        <item x="4"/>
        <item x="3"/>
        <item m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6"/>
        <item x="2"/>
        <item x="0"/>
        <item x="7"/>
        <item x="6"/>
        <item x="5"/>
        <item x="4"/>
        <item x="1"/>
        <item x="3"/>
        <item x="19"/>
        <item x="17"/>
        <item x="18"/>
        <item x="20"/>
        <item x="15"/>
        <item x="11"/>
        <item m="1" x="27"/>
        <item x="12"/>
        <item x="10"/>
        <item x="8"/>
        <item x="9"/>
        <item m="1" x="26"/>
        <item m="1" x="25"/>
        <item x="13"/>
        <item x="14"/>
        <item m="1" x="21"/>
        <item m="1" x="22"/>
        <item m="1" x="23"/>
        <item m="1"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2"/>
        <item x="0"/>
        <item x="1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27">
    <i>
      <x/>
      <x v="17"/>
    </i>
    <i r="1">
      <x v="18"/>
    </i>
    <i r="1">
      <x v="19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>
      <x v="3"/>
      <x v="14"/>
    </i>
    <i r="1">
      <x v="16"/>
    </i>
    <i r="1">
      <x v="22"/>
    </i>
    <i r="1">
      <x v="23"/>
    </i>
    <i t="default">
      <x v="3"/>
    </i>
    <i>
      <x v="4"/>
      <x v="9"/>
    </i>
    <i r="1">
      <x v="10"/>
    </i>
    <i r="1">
      <x v="11"/>
    </i>
    <i r="1">
      <x v="12"/>
    </i>
    <i t="default">
      <x v="4"/>
    </i>
    <i>
      <x v="5"/>
      <x/>
    </i>
    <i r="1">
      <x v="13"/>
    </i>
    <i t="default">
      <x v="5"/>
    </i>
    <i t="grand">
      <x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Count of Restaurant_name" fld="1" subtotal="count" baseField="0" baseItem="0"/>
  </dataFields>
  <formats count="3">
    <format dxfId="94">
      <pivotArea outline="0" fieldPosition="0">
        <references count="1">
          <reference field="10" count="1" selected="0" defaultSubtotal="1">
            <x v="0"/>
          </reference>
        </references>
      </pivotArea>
    </format>
    <format dxfId="93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92">
      <pivotArea dataOnly="0" outline="0" fieldPosition="0">
        <references count="1">
          <reference field="10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7B7B2-81B5-4B6B-A6EF-2ACB606964D1}" name="PivotTable7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6">
  <location ref="F4:I11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m="1" x="6"/>
        <item x="3"/>
        <item x="2"/>
        <item x="4"/>
        <item x="1"/>
        <item m="1" x="5"/>
        <item t="default"/>
      </items>
    </pivotField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>
      <x v="2"/>
    </i>
  </colItems>
  <dataFields count="1">
    <dataField name="Count of Restaurant_name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2"/>
              <x v="3"/>
              <x v="4"/>
              <x v="5"/>
            </reference>
          </references>
        </pivotArea>
      </pivotAreas>
    </conditionalFormat>
  </conditional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C6101-F32A-4715-BAD4-20718714A09C}" name="PivotTable29" cacheId="1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9">
  <location ref="A4:D7" firstHeaderRow="1" firstDataRow="2" firstDataCol="1"/>
  <pivotFields count="22">
    <pivotField showAll="0"/>
    <pivotField dataField="1" showAll="0"/>
    <pivotField showAll="0"/>
    <pivotField dataField="1"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12"/>
  </colFields>
  <colItems count="3">
    <i>
      <x/>
    </i>
    <i>
      <x v="1"/>
    </i>
    <i>
      <x v="2"/>
    </i>
  </colItems>
  <dataFields count="2">
    <dataField name="# Listing" fld="1" subtotal="count" showDataAs="percentOfTotal" baseField="12" baseItem="0" numFmtId="10"/>
    <dataField name="# Reviews" fld="3" showDataAs="percentOfTotal" baseField="12" baseItem="0" numFmtId="10"/>
  </dataFields>
  <chartFormats count="1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8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8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8" format="18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8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8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8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8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5C8C5-D573-44C9-B2BC-0EEAE85ED96B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4:Q12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h="1" x="3"/>
        <item x="1"/>
        <item t="default"/>
      </items>
    </pivotField>
    <pivotField showAll="0"/>
    <pivotField showAll="0"/>
    <pivotField axis="axisRow" showAll="0" sortType="descending">
      <items count="10">
        <item x="5"/>
        <item m="1" x="7"/>
        <item m="1" x="8"/>
        <item x="3"/>
        <item x="0"/>
        <item x="1"/>
        <item x="2"/>
        <item x="4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5"/>
  </rowFields>
  <rowItems count="7">
    <i>
      <x v="6"/>
    </i>
    <i>
      <x v="4"/>
    </i>
    <i>
      <x v="7"/>
    </i>
    <i>
      <x v="3"/>
    </i>
    <i>
      <x v="5"/>
    </i>
    <i>
      <x/>
    </i>
    <i t="grand">
      <x/>
    </i>
  </rowItems>
  <colFields count="1">
    <field x="12"/>
  </colFields>
  <colItems count="4">
    <i>
      <x/>
    </i>
    <i>
      <x v="1"/>
    </i>
    <i>
      <x v="3"/>
    </i>
    <i t="grand">
      <x/>
    </i>
  </colItems>
  <dataFields count="1">
    <dataField name="Count of Restaurant_name" fld="1" subtotal="count" baseField="0" baseItem="0"/>
  </dataField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" selected="0">
              <x v="0"/>
              <x v="1"/>
              <x v="3"/>
            </reference>
            <reference field="15" count="6">
              <x v="0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D0897-43BA-4A28-A85B-2B6854DA0080}" name="PivotTable1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Z4:AC10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Restaurant_name" fld="1" subtotal="count" baseField="0" baseItem="0"/>
  </dataFields>
  <conditionalFormats count="1"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  <reference field="17" count="2" selected="0">
              <x v="0"/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B4A3D-2874-4253-9F7F-4AEE4EEB6D55}" name="PivotTable3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C11" firstHeaderRow="0" firstDataRow="1" firstDataCol="1"/>
  <pivotFields count="22">
    <pivotField showAll="0"/>
    <pivotField dataField="1" showAll="0"/>
    <pivotField showAll="0"/>
    <pivotField dataField="1"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5"/>
        <item m="1" x="7"/>
        <item m="1" x="8"/>
        <item x="3"/>
        <item x="0"/>
        <item x="1"/>
        <item x="2"/>
        <item x="4"/>
        <item m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5"/>
  </rowFields>
  <rowItems count="7">
    <i>
      <x/>
    </i>
    <i>
      <x v="5"/>
    </i>
    <i>
      <x v="3"/>
    </i>
    <i>
      <x v="7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% reviews" fld="3" showDataAs="percentOfTotal" baseField="15" baseItem="0" numFmtId="10"/>
    <dataField name="% restaurant" fld="1" subtotal="count" showDataAs="percentOfTotal" baseField="15" baseItem="0" numFmtId="10"/>
  </dataFields>
  <chartFormats count="5"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E01CF-1AEC-4907-B80D-2B70BD4017F4}" name="PivotTable18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>
  <location ref="V4:X11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0"/>
        <item m="1" x="6"/>
        <item x="2"/>
        <item x="4"/>
        <item x="3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17"/>
  </colFields>
  <colItems count="2">
    <i>
      <x/>
    </i>
    <i>
      <x v="1"/>
    </i>
  </colItems>
  <dataFields count="1">
    <dataField name="Count of Restaurant_name" fld="1" subtotal="count" showDataAs="percentOfRow" baseField="10" baseItem="0" numFmtId="10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F182-AC2D-47B8-8F13-6E9E5876FD85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E4:K12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8">
        <item x="0"/>
        <item m="1" x="6"/>
        <item x="2"/>
        <item x="4"/>
        <item x="1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10">
        <item x="5"/>
        <item m="1" x="7"/>
        <item m="1" x="8"/>
        <item x="3"/>
        <item x="0"/>
        <item x="1"/>
        <item x="2"/>
        <item x="4"/>
        <item m="1"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5"/>
  </rowFields>
  <rowItems count="7">
    <i>
      <x v="6"/>
    </i>
    <i>
      <x v="4"/>
    </i>
    <i>
      <x v="7"/>
    </i>
    <i>
      <x v="3"/>
    </i>
    <i>
      <x v="5"/>
    </i>
    <i>
      <x/>
    </i>
    <i t="grand">
      <x/>
    </i>
  </rowItems>
  <colFields count="1">
    <field x="10"/>
  </colFields>
  <colItems count="6">
    <i>
      <x/>
    </i>
    <i>
      <x v="5"/>
    </i>
    <i>
      <x v="2"/>
    </i>
    <i>
      <x v="3"/>
    </i>
    <i>
      <x v="4"/>
    </i>
    <i t="grand">
      <x/>
    </i>
  </colItems>
  <dataFields count="1">
    <dataField name="Count of Restaurant_name" fld="1" subtotal="count" baseField="0" baseItem="0"/>
  </dataField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5" selected="0">
              <x v="0"/>
              <x v="2"/>
              <x v="3"/>
              <x v="4"/>
              <x v="5"/>
            </reference>
            <reference field="15" count="6">
              <x v="0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1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3E8C2-C5EC-4087-AACF-3C4B0147F316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S4:T7" firstHeaderRow="1" firstDataRow="1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Restaurant_name" fld="1" subtotal="count" showDataAs="percentOfTotal" baseField="16" baseItem="0" numFmtId="10"/>
  </dataFields>
  <chartFormats count="4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62A78-6D87-4FDB-9435-504BEE216C9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N4:O24" firstHeaderRow="1" firstDataRow="1" firstDataCol="1"/>
  <pivotFields count="22">
    <pivotField showAll="0"/>
    <pivotField dataField="1" showAll="0"/>
    <pivotField showAll="0"/>
    <pivotField showAll="0"/>
    <pivotField showAll="0"/>
    <pivotField axis="axisRow"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3"/>
    <field x="5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>
      <x v="3"/>
    </i>
    <i r="1">
      <x v="14"/>
    </i>
    <i t="grand">
      <x/>
    </i>
  </rowItems>
  <colItems count="1">
    <i/>
  </colItems>
  <dataFields count="1">
    <dataField name="Count of Restaurant_name" fld="1" subtotal="count" showDataAs="percentOfTotal" baseField="16" baseItem="0" numFmtId="10"/>
  </dataFields>
  <conditionalFormats count="1">
    <conditionalFormat priority="1">
      <pivotAreas count="4">
        <pivotArea type="data" collapsedLevelsAreSubtotals="1" fieldPosition="0">
          <references count="3">
            <reference field="4294967294" count="1" selected="0">
              <x v="0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  <reference field="13" count="1" selected="0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2">
              <x v="8"/>
              <x v="9"/>
            </reference>
            <reference field="1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4">
              <x v="10"/>
              <x v="11"/>
              <x v="12"/>
              <x v="13"/>
            </reference>
            <reference field="1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14"/>
            </reference>
            <reference field="13" count="1" selected="0">
              <x v="3"/>
            </reference>
          </references>
        </pivotArea>
      </pivotAreas>
    </conditionalFormat>
  </conditionalFormats>
  <chartFormats count="1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0B002-BB8B-4FF8-A9B1-C42226B1B8E6}" name="PivotTable8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4:L11" firstHeaderRow="1" firstDataRow="2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0"/>
        <item m="1" x="6"/>
        <item x="2"/>
        <item x="4"/>
        <item x="3"/>
        <item m="1" x="5"/>
        <item t="default"/>
      </items>
    </pivotField>
    <pivotField showAll="0"/>
    <pivotField showAll="0"/>
    <pivotField axis="axisCol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>
      <x v="4"/>
    </i>
  </colItems>
  <dataFields count="1">
    <dataField name="Count of Restaurant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49BE8-ADB9-4A04-96A5-B665D84B89F7}" name="PivotTable3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4:E9" firstHeaderRow="1" firstDataRow="1" firstDataCol="1"/>
  <pivotFields count="22">
    <pivotField showAll="0"/>
    <pivotField dataField="1" showAll="0"/>
    <pivotField showAll="0"/>
    <pivotField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taurant_name" fld="1" subtotal="count" showDataAs="percentOfTotal" baseField="16" baseItem="0" numFmtId="10"/>
  </dataFields>
  <chartFormats count="1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982D8-EA4B-43CD-BC9C-ACA01146233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8:B19" firstHeaderRow="1" firstDataRow="1" firstDataCol="1"/>
  <pivotFields count="22">
    <pivotField showAll="0"/>
    <pivotField showAll="0"/>
    <pivotField axis="axisRow" showAll="0">
      <items count="15">
        <item m="1" x="11"/>
        <item m="1" x="12"/>
        <item m="1" x="13"/>
        <item m="1" x="10"/>
        <item x="8"/>
        <item x="9"/>
        <item x="1"/>
        <item x="2"/>
        <item x="5"/>
        <item x="3"/>
        <item x="6"/>
        <item x="4"/>
        <item x="0"/>
        <item x="7"/>
        <item t="default"/>
      </items>
    </pivotField>
    <pivotField dataField="1" showAll="0"/>
    <pivotField showAll="0"/>
    <pivotField showAll="0">
      <items count="17">
        <item x="13"/>
        <item x="12"/>
        <item x="3"/>
        <item x="6"/>
        <item x="5"/>
        <item x="4"/>
        <item x="0"/>
        <item x="2"/>
        <item x="8"/>
        <item x="15"/>
        <item x="11"/>
        <item x="14"/>
        <item x="10"/>
        <item x="7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11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No_of_reviews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BC2B6E74-DDC8-4EF9-89C1-4B43402922AE}" autoFormatId="16" applyNumberFormats="0" applyBorderFormats="0" applyFontFormats="0" applyPatternFormats="0" applyAlignmentFormats="0" applyWidthHeightFormats="0">
  <queryTableRefresh nextId="61">
    <queryTableFields count="18">
      <queryTableField id="19" name="Link" tableColumnId="19"/>
      <queryTableField id="20" name="Restaurant_name" tableColumnId="20"/>
      <queryTableField id="21" name="Review_score" tableColumnId="21"/>
      <queryTableField id="22" name="No_of_reviews" tableColumnId="22"/>
      <queryTableField id="30" name="Price_range" tableColumnId="26"/>
      <queryTableField id="23" name="Open_time" tableColumnId="23"/>
      <queryTableField id="35" name="Review" tableColumnId="1"/>
      <queryTableField id="36" name="Address" tableColumnId="2"/>
      <queryTableField id="32" name="District classification.Latitude" tableColumnId="27"/>
      <queryTableField id="33" name="District classification.Longitude" tableColumnId="28"/>
      <queryTableField id="55" name="District" tableColumnId="6"/>
      <queryTableField id="56" name="Ward" tableColumnId="7"/>
      <queryTableField id="39" name="Price_bucket" tableColumnId="3"/>
      <queryTableField id="40" name="Time_bucket" tableColumnId="4"/>
      <queryTableField id="41" name="Rank" tableColumnId="5"/>
      <queryTableField id="59" name="Category" tableColumnId="8"/>
      <queryTableField id="47" name="Local_vs_English" tableColumnId="11"/>
      <queryTableField id="48" name="Cafe_option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ACA7B9DE-0D57-48DA-A7BB-E013289088D7}" autoFormatId="16" applyNumberFormats="0" applyBorderFormats="0" applyFontFormats="0" applyPatternFormats="0" applyAlignmentFormats="0" applyWidthHeightFormats="0">
  <queryTableRefresh nextId="17">
    <queryTableFields count="16">
      <queryTableField id="1" name="hfpxzc href" tableColumnId="1"/>
      <queryTableField id="2" name="qBF1Pd" tableColumnId="2"/>
      <queryTableField id="3" name="MW4etd" tableColumnId="3"/>
      <queryTableField id="4" name="UY7F9" tableColumnId="4"/>
      <queryTableField id="5" name="AJB7ye" tableColumnId="5"/>
      <queryTableField id="6" name="AJB7ye 2" tableColumnId="6"/>
      <queryTableField id="7" name="W4Efsd" tableColumnId="7"/>
      <queryTableField id="8" name="W4Efsd 2" tableColumnId="8"/>
      <queryTableField id="9" name="W4Efsd 3" tableColumnId="9"/>
      <queryTableField id="10" name="W4Efsd 4" tableColumnId="10"/>
      <queryTableField id="11" name="W4Efsd 5" tableColumnId="11"/>
      <queryTableField id="12" name="FQ2IWe src" tableColumnId="12"/>
      <queryTableField id="13" name="Jn12ke src" tableColumnId="13"/>
      <queryTableField id="14" name="ah5Ghc" tableColumnId="14"/>
      <queryTableField id="15" name="ah5Ghc 2" tableColumnId="15"/>
      <queryTableField id="16" name="ah5Ghc 3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37F71C77-066E-424D-8AE5-EE9571C24762}" autoFormatId="16" applyNumberFormats="0" applyBorderFormats="0" applyFontFormats="0" applyPatternFormats="0" applyAlignmentFormats="0" applyWidthHeightFormats="0">
  <queryTableRefresh nextId="19">
    <queryTableFields count="18">
      <queryTableField id="1" name="hfpxzc href" tableColumnId="1"/>
      <queryTableField id="2" name="qBF1Pd" tableColumnId="2"/>
      <queryTableField id="3" name="MW4etd" tableColumnId="3"/>
      <queryTableField id="4" name="UY7F9" tableColumnId="4"/>
      <queryTableField id="5" name="W4Efsd" tableColumnId="5"/>
      <queryTableField id="6" name="W4Efsd 2" tableColumnId="6"/>
      <queryTableField id="7" name="W4Efsd 3" tableColumnId="7"/>
      <queryTableField id="8" name="W4Efsd 4" tableColumnId="8"/>
      <queryTableField id="9" name="W4Efsd 5" tableColumnId="9"/>
      <queryTableField id="10" name="FQ2IWe src" tableColumnId="10"/>
      <queryTableField id="11" name="Jn12ke src" tableColumnId="11"/>
      <queryTableField id="12" name="ah5Ghc" tableColumnId="12"/>
      <queryTableField id="13" name="ah5Ghc 2" tableColumnId="13"/>
      <queryTableField id="14" name="ah5Ghc 3" tableColumnId="14"/>
      <queryTableField id="15" name="AJB7ye" tableColumnId="15"/>
      <queryTableField id="16" name="AJB7ye 2" tableColumnId="16"/>
      <queryTableField id="17" name="doJOZc" tableColumnId="17"/>
      <queryTableField id="18" name="W4Efsd 6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7A409F8-8187-4F8B-AD3B-263E69C819C3}" autoFormatId="16" applyNumberFormats="0" applyBorderFormats="0" applyFontFormats="0" applyPatternFormats="0" applyAlignmentFormats="0" applyWidthHeightFormats="0">
  <queryTableRefresh nextId="19">
    <queryTableFields count="18">
      <queryTableField id="1" name="hfpxzc href" tableColumnId="1"/>
      <queryTableField id="2" name="qBF1Pd" tableColumnId="2"/>
      <queryTableField id="3" name="MW4etd" tableColumnId="3"/>
      <queryTableField id="4" name="UY7F9" tableColumnId="4"/>
      <queryTableField id="5" name="W4Efsd" tableColumnId="5"/>
      <queryTableField id="6" name="W4Efsd 2" tableColumnId="6"/>
      <queryTableField id="7" name="W4Efsd 3" tableColumnId="7"/>
      <queryTableField id="8" name="W4Efsd 4" tableColumnId="8"/>
      <queryTableField id="9" name="W4Efsd 5" tableColumnId="9"/>
      <queryTableField id="10" name="FQ2IWe src" tableColumnId="10"/>
      <queryTableField id="11" name="Jn12ke src" tableColumnId="11"/>
      <queryTableField id="12" name="ah5Ghc" tableColumnId="12"/>
      <queryTableField id="13" name="ah5Ghc 2" tableColumnId="13"/>
      <queryTableField id="14" name="ah5Ghc 3" tableColumnId="14"/>
      <queryTableField id="15" name="AJB7ye" tableColumnId="15"/>
      <queryTableField id="16" name="AJB7ye 2" tableColumnId="16"/>
      <queryTableField id="17" name="doJOZc" tableColumnId="17"/>
      <queryTableField id="18" name="W4Efsd 6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F53ADF0-769C-43E1-8F36-AEDFBFD21127}" autoFormatId="16" applyNumberFormats="0" applyBorderFormats="0" applyFontFormats="0" applyPatternFormats="0" applyAlignmentFormats="0" applyWidthHeightFormats="0">
  <queryTableRefresh nextId="19">
    <queryTableFields count="18">
      <queryTableField id="1" name="hfpxzc href" tableColumnId="1"/>
      <queryTableField id="2" name="qBF1Pd" tableColumnId="2"/>
      <queryTableField id="3" name="MW4etd" tableColumnId="3"/>
      <queryTableField id="4" name="UY7F9" tableColumnId="4"/>
      <queryTableField id="5" name="AJB7ye" tableColumnId="5"/>
      <queryTableField id="6" name="AJB7ye 2" tableColumnId="6"/>
      <queryTableField id="7" name="W4Efsd" tableColumnId="7"/>
      <queryTableField id="8" name="W4Efsd 2" tableColumnId="8"/>
      <queryTableField id="9" name="W4Efsd 3" tableColumnId="9"/>
      <queryTableField id="10" name="W4Efsd 4" tableColumnId="10"/>
      <queryTableField id="11" name="W4Efsd 5" tableColumnId="11"/>
      <queryTableField id="12" name="FQ2IWe src" tableColumnId="12"/>
      <queryTableField id="13" name="Jn12ke src" tableColumnId="13"/>
      <queryTableField id="14" name="ah5Ghc" tableColumnId="14"/>
      <queryTableField id="15" name="ah5Ghc 2" tableColumnId="15"/>
      <queryTableField id="16" name="ah5Ghc 3" tableColumnId="16"/>
      <queryTableField id="17" name="doJOZc" tableColumnId="17"/>
      <queryTableField id="18" name="W4Efsd 6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1AF1698-EAB3-4615-A7E0-E229B4EB48D9}" autoFormatId="16" applyNumberFormats="0" applyBorderFormats="0" applyFontFormats="0" applyPatternFormats="0" applyAlignmentFormats="0" applyWidthHeightFormats="0">
  <queryTableRefresh nextId="15">
    <queryTableFields count="8">
      <queryTableField id="1" name="Link" tableColumnId="1"/>
      <queryTableField id="2" name="Restaurant_name" tableColumnId="2"/>
      <queryTableField id="9" name="Latitude" tableColumnId="9"/>
      <queryTableField id="10" name="Longitude" tableColumnId="10"/>
      <queryTableField id="11" name="District_auto" tableColumnId="11"/>
      <queryTableField id="12" name="District_confidence" tableColumnId="12"/>
      <queryTableField id="13" name="District_method" tableColumnId="13"/>
      <queryTableField id="14" name="In_selected_scope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2BD5B3D-BC9B-438B-ADAD-54F192359200}" autoFormatId="16" applyNumberFormats="0" applyBorderFormats="0" applyFontFormats="0" applyPatternFormats="0" applyAlignmentFormats="0" applyWidthHeightFormats="0">
  <queryTableRefresh nextId="13">
    <queryTableFields count="12">
      <queryTableField id="1" name="Link" tableColumnId="1"/>
      <queryTableField id="2" name="Restaurant_name" tableColumnId="2"/>
      <queryTableField id="3" name="Latitude" tableColumnId="3"/>
      <queryTableField id="4" name="Longitude" tableColumnId="4"/>
      <queryTableField id="5" name="District_auto" tableColumnId="5"/>
      <queryTableField id="6" name="District_confidence" tableColumnId="6"/>
      <queryTableField id="7" name="District_method" tableColumnId="7"/>
      <queryTableField id="8" name="In_selected_scope" tableColumnId="8"/>
      <queryTableField id="9" name="Ward_auto" tableColumnId="9"/>
      <queryTableField id="10" name="District_Ward" tableColumnId="10"/>
      <queryTableField id="11" name="Ward_confidence" tableColumnId="11"/>
      <queryTableField id="12" name="Ward_method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C936303D-5CE0-4EEC-AB41-6BA4A40B8946}" autoFormatId="16" applyNumberFormats="0" applyBorderFormats="0" applyFontFormats="0" applyPatternFormats="0" applyAlignmentFormats="0" applyWidthHeightFormats="0">
  <queryTableRefresh nextId="22">
    <queryTableFields count="15">
      <queryTableField id="1" name="Restaurant Name" tableColumnId="1"/>
      <queryTableField id="2" name="District" tableColumnId="2"/>
      <queryTableField id="3" name="Rating" tableColumnId="3"/>
      <queryTableField id="4" name="Reviews" tableColumnId="4"/>
      <queryTableField id="5" name="Price Bucket" tableColumnId="5"/>
      <queryTableField id="6" name="Time Bucket" tableColumnId="6"/>
      <queryTableField id="7" name="Style Classification" tableColumnId="7"/>
      <queryTableField id="8" name="Local vs English Orientation" tableColumnId="8"/>
      <queryTableField id="9" name="Cafe / Coffee / Tea?" tableColumnId="9"/>
      <queryTableField id="10" name="Concept Signal" tableColumnId="10"/>
      <queryTableField id="11" name="Suggested Target Segment" tableColumnId="11"/>
      <queryTableField id="12" name="Address" tableColumnId="12"/>
      <queryTableField id="13" name="Latitude" tableColumnId="13"/>
      <queryTableField id="14" name="Longitude" tableColumnId="14"/>
      <queryTableField id="15" name="Source Link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047DD0-C03F-4E2A-AEB1-7DA9269AD819}" name="Cleaned_Table" displayName="Cleaned_Table" ref="A1:R142" tableType="queryTable" totalsRowShown="0">
  <autoFilter ref="A1:R142" xr:uid="{AC047DD0-C03F-4E2A-AEB1-7DA9269AD819}"/>
  <tableColumns count="18">
    <tableColumn id="19" xr3:uid="{08ACD675-4EE0-4BFE-8775-6B733CCF51D1}" uniqueName="19" name="Link" queryTableFieldId="19" dataDxfId="104"/>
    <tableColumn id="20" xr3:uid="{7A978571-2A61-4AD6-AB31-C9FC479E802B}" uniqueName="20" name="Restaurant_name" queryTableFieldId="20" dataDxfId="103"/>
    <tableColumn id="21" xr3:uid="{04E37BEA-749B-4A36-9D9C-F51FCFDF31BF}" uniqueName="21" name="Review_score" queryTableFieldId="21"/>
    <tableColumn id="22" xr3:uid="{5A93B4FD-665E-40ED-B041-F87DE4F5E00B}" uniqueName="22" name="No_of_reviews" queryTableFieldId="22"/>
    <tableColumn id="26" xr3:uid="{B1668D27-06A4-4644-916C-8CC81C88C75C}" uniqueName="26" name="Price_range" queryTableFieldId="30" dataDxfId="102"/>
    <tableColumn id="23" xr3:uid="{1B1FA510-5415-4D0A-B86E-FA9B8BEB34B5}" uniqueName="23" name="Open_time" queryTableFieldId="23" dataDxfId="0"/>
    <tableColumn id="1" xr3:uid="{604F88B4-3B02-40F9-8DCB-5DDEFE2AFD24}" uniqueName="1" name="Review" queryTableFieldId="35" dataDxfId="101"/>
    <tableColumn id="2" xr3:uid="{7FAE05E7-1006-4B2C-B7EC-12F274CD00A1}" uniqueName="2" name="Address" queryTableFieldId="36" dataDxfId="100"/>
    <tableColumn id="27" xr3:uid="{4B785D03-7C27-43FC-AB80-A408867367D7}" uniqueName="27" name="District classification.Latitude" queryTableFieldId="32"/>
    <tableColumn id="28" xr3:uid="{2B7558B1-1E86-4DE9-9EE9-D237A4EE8AB7}" uniqueName="28" name="District classification.Longitude" queryTableFieldId="33"/>
    <tableColumn id="6" xr3:uid="{D4931CFE-BF71-49B1-BF03-EB7E301AF9F9}" uniqueName="6" name="District" queryTableFieldId="55" dataDxfId="99"/>
    <tableColumn id="7" xr3:uid="{42677364-F125-4E46-843C-FDF503D8507C}" uniqueName="7" name="Ward" queryTableFieldId="56" dataDxfId="98"/>
    <tableColumn id="3" xr3:uid="{B5E6F36F-0C2F-46F4-B4EF-934D0EE579EB}" uniqueName="3" name="Price_bucket" queryTableFieldId="39"/>
    <tableColumn id="4" xr3:uid="{81D4588F-4FD6-4951-928A-C1F54397A1CC}" uniqueName="4" name="Time_bucket" queryTableFieldId="40"/>
    <tableColumn id="5" xr3:uid="{908DE5E2-A366-43B9-83B6-BBABA23146DA}" uniqueName="5" name="Rank" queryTableFieldId="41"/>
    <tableColumn id="8" xr3:uid="{5AD2C0A8-26D7-4BC7-9454-22DB83A90A00}" uniqueName="8" name="Category" queryTableFieldId="59" dataDxfId="97"/>
    <tableColumn id="11" xr3:uid="{1190FF8D-2440-4DA7-86A9-8313A7B08127}" uniqueName="11" name="Local_vs_English" queryTableFieldId="47" dataDxfId="96"/>
    <tableColumn id="12" xr3:uid="{18162F97-4766-4F75-A2BC-871E428F43AA}" uniqueName="12" name="Cafe_options" queryTableFieldId="48" dataDxfId="9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E8476D-F088-4754-AC39-FABCA07A210A}" name="Dist__Binh_Thanh" displayName="Dist__Binh_Thanh" ref="A1:P22" tableType="queryTable" totalsRowShown="0">
  <autoFilter ref="A1:P22" xr:uid="{B1E8476D-F088-4754-AC39-FABCA07A210A}"/>
  <tableColumns count="16">
    <tableColumn id="1" xr3:uid="{4DC1ABEF-E8FD-49EE-A059-2D9DC925AE3B}" uniqueName="1" name="hfpxzc href" queryTableFieldId="1" dataDxfId="81"/>
    <tableColumn id="2" xr3:uid="{74B0EFC4-4D57-4C66-901D-3BD70BA6D940}" uniqueName="2" name="qBF1Pd" queryTableFieldId="2" dataDxfId="80"/>
    <tableColumn id="3" xr3:uid="{22B586C1-C1DF-4162-8999-F00FB5F4F029}" uniqueName="3" name="MW4etd" queryTableFieldId="3"/>
    <tableColumn id="4" xr3:uid="{C3F22D9B-66D6-43C1-9BAB-EFD195FCA85F}" uniqueName="4" name="UY7F9" queryTableFieldId="4"/>
    <tableColumn id="5" xr3:uid="{0355A728-73FB-4981-B323-C27721154EDB}" uniqueName="5" name="AJB7ye" queryTableFieldId="5" dataDxfId="79"/>
    <tableColumn id="6" xr3:uid="{E5A11CF7-8AB5-4E7D-8DDA-F4E73FE4E91C}" uniqueName="6" name="AJB7ye 2" queryTableFieldId="6" dataDxfId="78"/>
    <tableColumn id="7" xr3:uid="{F4FBD3A8-211A-45DD-8C8D-1095DF83B1F5}" uniqueName="7" name="W4Efsd" queryTableFieldId="7" dataDxfId="77"/>
    <tableColumn id="8" xr3:uid="{C6CC5A21-17B8-4037-8F88-6CE4FCEBE860}" uniqueName="8" name="W4Efsd 2" queryTableFieldId="8" dataDxfId="76"/>
    <tableColumn id="9" xr3:uid="{7E861604-58C8-45CB-8BB0-E20B31559BC0}" uniqueName="9" name="W4Efsd 3" queryTableFieldId="9" dataDxfId="75"/>
    <tableColumn id="10" xr3:uid="{CDD96219-E063-4C94-9CDE-E9B4323F1295}" uniqueName="10" name="W4Efsd 4" queryTableFieldId="10" dataDxfId="74"/>
    <tableColumn id="11" xr3:uid="{AE76F266-22C5-492F-8D6A-D143701AEFA8}" uniqueName="11" name="W4Efsd 5" queryTableFieldId="11" dataDxfId="73"/>
    <tableColumn id="12" xr3:uid="{DEF88F16-E9CD-4047-B697-FF37B6ABDEB7}" uniqueName="12" name="FQ2IWe src" queryTableFieldId="12" dataDxfId="72"/>
    <tableColumn id="13" xr3:uid="{5AD5ED1A-EFB7-43E3-96DB-4B4529088770}" uniqueName="13" name="Jn12ke src" queryTableFieldId="13" dataDxfId="71"/>
    <tableColumn id="14" xr3:uid="{8FB208BE-B113-44A4-9339-F8EA349006AA}" uniqueName="14" name="ah5Ghc" queryTableFieldId="14" dataDxfId="70"/>
    <tableColumn id="15" xr3:uid="{1DAC9E15-ED41-4545-909A-349ABEC33A42}" uniqueName="15" name="ah5Ghc 2" queryTableFieldId="15" dataDxfId="69"/>
    <tableColumn id="16" xr3:uid="{96CF005B-E416-4C6E-9F9F-3A595FE284F3}" uniqueName="16" name="ah5Ghc 3" queryTableFieldId="16" dataDxfId="6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EBF31D-BBD3-4660-B18B-4BF60333C7B4}" name="Dist_7" displayName="Dist_7" ref="A1:R45" tableType="queryTable" totalsRowShown="0">
  <autoFilter ref="A1:R45" xr:uid="{9EEBF31D-BBD3-4660-B18B-4BF60333C7B4}"/>
  <tableColumns count="18">
    <tableColumn id="1" xr3:uid="{AEDD274D-A880-4786-B3F2-4285A1076A8A}" uniqueName="1" name="hfpxzc href" queryTableFieldId="1" dataDxfId="67"/>
    <tableColumn id="2" xr3:uid="{F708FC38-E3C8-4CC0-BB41-8076A224B5E7}" uniqueName="2" name="qBF1Pd" queryTableFieldId="2" dataDxfId="66"/>
    <tableColumn id="3" xr3:uid="{A9459B8E-513F-47C9-836F-E6C27A176991}" uniqueName="3" name="MW4etd" queryTableFieldId="3"/>
    <tableColumn id="4" xr3:uid="{F51F1D3F-5C67-43E8-9745-211EC9968424}" uniqueName="4" name="UY7F9" queryTableFieldId="4"/>
    <tableColumn id="5" xr3:uid="{DFA1AA52-DF1C-4015-A095-7BC874B3A469}" uniqueName="5" name="W4Efsd" queryTableFieldId="5" dataDxfId="65"/>
    <tableColumn id="6" xr3:uid="{FD04FA0F-C320-433A-A39F-7857689B9698}" uniqueName="6" name="W4Efsd 2" queryTableFieldId="6" dataDxfId="64"/>
    <tableColumn id="7" xr3:uid="{6EBB107F-E325-423F-8878-7D0511B532D9}" uniqueName="7" name="W4Efsd 3" queryTableFieldId="7" dataDxfId="63"/>
    <tableColumn id="8" xr3:uid="{681ED2FA-6C72-4926-975E-4E4265C46233}" uniqueName="8" name="W4Efsd 4" queryTableFieldId="8" dataDxfId="62"/>
    <tableColumn id="9" xr3:uid="{68F5B789-8F24-4CDD-8F83-9EF36B701204}" uniqueName="9" name="W4Efsd 5" queryTableFieldId="9" dataDxfId="61"/>
    <tableColumn id="10" xr3:uid="{8B3CF3B2-A67E-4E4C-80F8-6787F5D7258A}" uniqueName="10" name="FQ2IWe src" queryTableFieldId="10" dataDxfId="60"/>
    <tableColumn id="11" xr3:uid="{DFA30A33-C437-477A-9F1B-3B5EB1807958}" uniqueName="11" name="Jn12ke src" queryTableFieldId="11" dataDxfId="59"/>
    <tableColumn id="12" xr3:uid="{5BC5A19A-A98C-4869-8022-22C2DE83D091}" uniqueName="12" name="ah5Ghc" queryTableFieldId="12" dataDxfId="58"/>
    <tableColumn id="13" xr3:uid="{8A43FBAC-C2B3-4F05-BFEF-E4EEE41A4EF6}" uniqueName="13" name="ah5Ghc 2" queryTableFieldId="13" dataDxfId="57"/>
    <tableColumn id="14" xr3:uid="{B016059B-28D0-49CA-830E-D1F87E4A2723}" uniqueName="14" name="ah5Ghc 3" queryTableFieldId="14" dataDxfId="56"/>
    <tableColumn id="15" xr3:uid="{EC1ECC9B-43A1-43DF-B87B-44BEB486F1C1}" uniqueName="15" name="AJB7ye" queryTableFieldId="15" dataDxfId="55"/>
    <tableColumn id="16" xr3:uid="{E4CC547D-EFC2-4B8E-A0C1-B9E3DC3ECEE7}" uniqueName="16" name="AJB7ye 2" queryTableFieldId="16" dataDxfId="54"/>
    <tableColumn id="17" xr3:uid="{8C5F51F3-CA8A-4F7B-A134-5D291FF09DDB}" uniqueName="17" name="doJOZc" queryTableFieldId="17" dataDxfId="53"/>
    <tableColumn id="18" xr3:uid="{FF98DDB0-FC83-4BB4-BB98-320BF0724C38}" uniqueName="18" name="W4Efsd 6" queryTableFieldId="18" dataDxfId="5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6BC2D-5844-403E-BA6C-48F7D0073F57}" name="Dist_2" displayName="Dist_2" ref="A1:R79" tableType="queryTable" totalsRowShown="0">
  <autoFilter ref="A1:R79" xr:uid="{C096BC2D-5844-403E-BA6C-48F7D0073F57}"/>
  <tableColumns count="18">
    <tableColumn id="1" xr3:uid="{5EC12A1E-F12B-49C1-8A7A-14113F5031AA}" uniqueName="1" name="hfpxzc href" queryTableFieldId="1" dataDxfId="51"/>
    <tableColumn id="2" xr3:uid="{58C3908B-F6EC-43D2-B42C-F493CF53C69B}" uniqueName="2" name="qBF1Pd" queryTableFieldId="2" dataDxfId="50"/>
    <tableColumn id="3" xr3:uid="{44DFA0B0-8532-4D56-96EC-1593D45C0808}" uniqueName="3" name="MW4etd" queryTableFieldId="3"/>
    <tableColumn id="4" xr3:uid="{653BF115-126C-4877-9428-A88F83884AC8}" uniqueName="4" name="UY7F9" queryTableFieldId="4"/>
    <tableColumn id="5" xr3:uid="{9D2AF5C6-FB18-4CB4-BC0E-75E502AC462E}" uniqueName="5" name="W4Efsd" queryTableFieldId="5" dataDxfId="49"/>
    <tableColumn id="6" xr3:uid="{BC7DE93A-FEA7-4BC8-AAAB-682874684C58}" uniqueName="6" name="W4Efsd 2" queryTableFieldId="6" dataDxfId="48"/>
    <tableColumn id="7" xr3:uid="{7E133D27-6473-4FAD-8FE8-B89DDD45E98B}" uniqueName="7" name="W4Efsd 3" queryTableFieldId="7" dataDxfId="47"/>
    <tableColumn id="8" xr3:uid="{8CAD59B9-430F-4A13-B033-C13F904E7A67}" uniqueName="8" name="W4Efsd 4" queryTableFieldId="8" dataDxfId="46"/>
    <tableColumn id="9" xr3:uid="{7FFE54D6-4714-40D7-B4A1-7A8115154D55}" uniqueName="9" name="W4Efsd 5" queryTableFieldId="9" dataDxfId="45"/>
    <tableColumn id="10" xr3:uid="{474A433B-9797-485B-B42A-DA7CD2119B08}" uniqueName="10" name="FQ2IWe src" queryTableFieldId="10" dataDxfId="44"/>
    <tableColumn id="11" xr3:uid="{7ACFC846-5BAF-4C58-A0A0-4A23B01A06DF}" uniqueName="11" name="Jn12ke src" queryTableFieldId="11" dataDxfId="43"/>
    <tableColumn id="12" xr3:uid="{0C20EA6B-31E8-45CB-99D7-50D581CC75ED}" uniqueName="12" name="ah5Ghc" queryTableFieldId="12" dataDxfId="42"/>
    <tableColumn id="13" xr3:uid="{976A57FE-5CF7-4A6C-90C1-6494C9B4622F}" uniqueName="13" name="ah5Ghc 2" queryTableFieldId="13" dataDxfId="41"/>
    <tableColumn id="14" xr3:uid="{2B8ED5AF-1CA5-4F02-98CA-5D342E0B5A9A}" uniqueName="14" name="ah5Ghc 3" queryTableFieldId="14" dataDxfId="40"/>
    <tableColumn id="15" xr3:uid="{4CE2C14E-236D-4841-A052-6456978EC425}" uniqueName="15" name="AJB7ye" queryTableFieldId="15" dataDxfId="39"/>
    <tableColumn id="16" xr3:uid="{474A3F5B-60EA-406C-A1F8-CBFD85F6F060}" uniqueName="16" name="AJB7ye 2" queryTableFieldId="16" dataDxfId="38"/>
    <tableColumn id="17" xr3:uid="{624AA784-AD77-4765-840B-FE62F18B1B7D}" uniqueName="17" name="doJOZc" queryTableFieldId="17" dataDxfId="37"/>
    <tableColumn id="18" xr3:uid="{C304256C-1514-43EB-9F59-8FBC62B2655F}" uniqueName="18" name="W4Efsd 6" queryTableFieldId="18" dataDxf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D3B81-54F1-4296-8B9C-C5096EE9A649}" name="Dist_1" displayName="Dist_1" ref="A1:R118" tableType="queryTable" totalsRowShown="0">
  <autoFilter ref="A1:R118" xr:uid="{22FD3B81-54F1-4296-8B9C-C5096EE9A649}"/>
  <tableColumns count="18">
    <tableColumn id="1" xr3:uid="{9C1CAAD9-31C1-40A9-B829-CEEA20DB63C1}" uniqueName="1" name="hfpxzc href" queryTableFieldId="1" dataDxfId="35"/>
    <tableColumn id="2" xr3:uid="{3D0F136C-728B-49C0-8221-9A8E64E24F69}" uniqueName="2" name="qBF1Pd" queryTableFieldId="2" dataDxfId="34"/>
    <tableColumn id="3" xr3:uid="{A3F49749-7C19-474B-AFEA-E1D2C654F7CA}" uniqueName="3" name="MW4etd" queryTableFieldId="3"/>
    <tableColumn id="4" xr3:uid="{2A339D6A-AC8F-41CB-A9AD-4B73BD8511CB}" uniqueName="4" name="UY7F9" queryTableFieldId="4"/>
    <tableColumn id="5" xr3:uid="{4F5A64CA-C4A1-4EB3-87E2-006B34880E09}" uniqueName="5" name="AJB7ye" queryTableFieldId="5" dataDxfId="33"/>
    <tableColumn id="6" xr3:uid="{885402B3-36FA-42A9-A3E9-99236373AE70}" uniqueName="6" name="AJB7ye 2" queryTableFieldId="6" dataDxfId="32"/>
    <tableColumn id="7" xr3:uid="{121454ED-4A0E-4677-8EE7-9503588B8600}" uniqueName="7" name="W4Efsd" queryTableFieldId="7" dataDxfId="31"/>
    <tableColumn id="8" xr3:uid="{55C8140A-FB9A-4C31-B38F-F0F62B937550}" uniqueName="8" name="W4Efsd 2" queryTableFieldId="8" dataDxfId="30"/>
    <tableColumn id="9" xr3:uid="{04BBF107-E008-4CDE-87F2-71E25F6210A3}" uniqueName="9" name="W4Efsd 3" queryTableFieldId="9" dataDxfId="29"/>
    <tableColumn id="10" xr3:uid="{08378B09-C833-4330-A3BD-472CBC89D12B}" uniqueName="10" name="W4Efsd 4" queryTableFieldId="10" dataDxfId="28"/>
    <tableColumn id="11" xr3:uid="{3E3A478E-CB94-4308-9A46-D909A35BF261}" uniqueName="11" name="W4Efsd 5" queryTableFieldId="11" dataDxfId="27"/>
    <tableColumn id="12" xr3:uid="{87C0ADA5-3C66-4436-8302-B9A9A66705A3}" uniqueName="12" name="FQ2IWe src" queryTableFieldId="12" dataDxfId="26"/>
    <tableColumn id="13" xr3:uid="{3F2E7C2D-0174-4F6D-8512-B9E3BA8B57C9}" uniqueName="13" name="Jn12ke src" queryTableFieldId="13" dataDxfId="25"/>
    <tableColumn id="14" xr3:uid="{80E8B522-15E3-43DB-B690-662A9FE24346}" uniqueName="14" name="ah5Ghc" queryTableFieldId="14" dataDxfId="24"/>
    <tableColumn id="15" xr3:uid="{2B837AE8-CCAF-46DB-BC8A-652B8A8C2E30}" uniqueName="15" name="ah5Ghc 2" queryTableFieldId="15" dataDxfId="23"/>
    <tableColumn id="16" xr3:uid="{2E66A3B3-2590-498D-8276-0DD4FC29FDC7}" uniqueName="16" name="ah5Ghc 3" queryTableFieldId="16" dataDxfId="22"/>
    <tableColumn id="17" xr3:uid="{590ACD1B-5EEF-4F7A-AEF7-C403B33D7353}" uniqueName="17" name="doJOZc" queryTableFieldId="17" dataDxfId="21"/>
    <tableColumn id="18" xr3:uid="{77C1865C-6F6C-426B-9727-6AD5193542FC}" uniqueName="18" name="W4Efsd 6" queryTableFieldId="18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A3019C-4F58-42EC-BDFC-055979567AAD}" name="District_classification" displayName="District_classification" ref="A1:H205" tableType="queryTable" totalsRowShown="0">
  <autoFilter ref="A1:H205" xr:uid="{D7A3019C-4F58-42EC-BDFC-055979567AAD}"/>
  <tableColumns count="8">
    <tableColumn id="1" xr3:uid="{BAA52E4F-8473-451D-8AB1-A2BA149BBAB9}" uniqueName="1" name="Link" queryTableFieldId="1" dataDxfId="19"/>
    <tableColumn id="2" xr3:uid="{DA5A2B75-73E5-437D-8CB3-04A8C80956C7}" uniqueName="2" name="Restaurant_name" queryTableFieldId="2" dataDxfId="18"/>
    <tableColumn id="9" xr3:uid="{5066CB6F-2BED-4651-9B40-808F0B506652}" uniqueName="9" name="Latitude" queryTableFieldId="9" dataDxfId="17"/>
    <tableColumn id="10" xr3:uid="{939AC54F-8F9E-49E4-9FB6-82412D46879F}" uniqueName="10" name="Longitude" queryTableFieldId="10" dataDxfId="16"/>
    <tableColumn id="11" xr3:uid="{445CE29B-1F75-40A3-94BE-60E5A9A5E91F}" uniqueName="11" name="District_auto" queryTableFieldId="11" dataDxfId="15"/>
    <tableColumn id="12" xr3:uid="{716E936D-A0DD-4568-A63E-EEA9847F1757}" uniqueName="12" name="District_confidence" queryTableFieldId="12" dataDxfId="14"/>
    <tableColumn id="13" xr3:uid="{F2513985-65D2-4A3A-B0B3-489E0C628E1F}" uniqueName="13" name="District_method" queryTableFieldId="13" dataDxfId="13"/>
    <tableColumn id="14" xr3:uid="{60111CD7-9F9E-4A68-8657-BC960EBC522E}" uniqueName="14" name="In_selected_scope" queryTableFieldId="14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D258E8-D946-4C5F-BC84-2BD2A60369B4}" name="Ward_Info_1" displayName="Ward_Info_1" ref="A1:L205" tableType="queryTable" totalsRowShown="0">
  <autoFilter ref="A1:L205" xr:uid="{6BD258E8-D946-4C5F-BC84-2BD2A60369B4}"/>
  <tableColumns count="12">
    <tableColumn id="1" xr3:uid="{B22C173D-9143-4810-8A0B-68B599934E03}" uniqueName="1" name="Link" queryTableFieldId="1" dataDxfId="91"/>
    <tableColumn id="2" xr3:uid="{B51B5654-5A08-4566-BD37-04EB1FDA0C0A}" uniqueName="2" name="Restaurant_name" queryTableFieldId="2" dataDxfId="90"/>
    <tableColumn id="3" xr3:uid="{9EF1A562-94BE-4F90-B829-2FE49578350A}" uniqueName="3" name="Latitude" queryTableFieldId="3"/>
    <tableColumn id="4" xr3:uid="{E2C846C2-B617-4D00-BE34-90FCD2C73126}" uniqueName="4" name="Longitude" queryTableFieldId="4"/>
    <tableColumn id="5" xr3:uid="{857F6C53-DB6F-49AA-93B8-39F809B3E967}" uniqueName="5" name="District_auto" queryTableFieldId="5" dataDxfId="89"/>
    <tableColumn id="6" xr3:uid="{F8E9D18E-EE72-445D-8EC7-CA02E8BECC4E}" uniqueName="6" name="District_confidence" queryTableFieldId="6" dataDxfId="88"/>
    <tableColumn id="7" xr3:uid="{5B84B070-CE80-4CB5-9744-F9ED1C37D43F}" uniqueName="7" name="District_method" queryTableFieldId="7" dataDxfId="87"/>
    <tableColumn id="8" xr3:uid="{41BB160B-0045-4BA8-A128-1C93827994C0}" uniqueName="8" name="In_selected_scope" queryTableFieldId="8" dataDxfId="86"/>
    <tableColumn id="9" xr3:uid="{9168D943-A6B6-4B2E-B926-6C6CE3C1BD35}" uniqueName="9" name="Ward_auto" queryTableFieldId="9" dataDxfId="85"/>
    <tableColumn id="10" xr3:uid="{DFAB3DCB-0A08-44C7-A570-CEA05DC5E423}" uniqueName="10" name="District_Ward" queryTableFieldId="10" dataDxfId="84"/>
    <tableColumn id="11" xr3:uid="{85D57DDA-8C1C-4E82-8A16-7462EAE078F4}" uniqueName="11" name="Ward_confidence" queryTableFieldId="11" dataDxfId="83"/>
    <tableColumn id="12" xr3:uid="{7A05A387-239A-4EF8-A84D-B352A54A7981}" uniqueName="12" name="Ward_method" queryTableFieldId="12" dataDxfId="8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B243C6-B681-42DF-9977-E0606B07A040}" name="RestaurantClassification" displayName="RestaurantClassification" ref="A1:O197" tableType="queryTable" totalsRowShown="0">
  <autoFilter ref="A1:O197" xr:uid="{D5B243C6-B681-42DF-9977-E0606B07A040}"/>
  <tableColumns count="15">
    <tableColumn id="1" xr3:uid="{8B22F7D6-430D-459E-9552-855C436043AB}" uniqueName="1" name="Restaurant Name" queryTableFieldId="1" dataDxfId="11"/>
    <tableColumn id="2" xr3:uid="{CE55743B-E7B5-4940-B611-48F9043EFB7A}" uniqueName="2" name="District" queryTableFieldId="2" dataDxfId="10"/>
    <tableColumn id="3" xr3:uid="{6343FD66-0B8F-4F8B-B3D3-1EBB2EC40212}" uniqueName="3" name="Rating" queryTableFieldId="3"/>
    <tableColumn id="4" xr3:uid="{5CB01957-4780-4CAF-983F-B6F38FA5DD7C}" uniqueName="4" name="Reviews" queryTableFieldId="4"/>
    <tableColumn id="5" xr3:uid="{C3006060-D4AC-4222-A2EC-3135BCC9B4D0}" uniqueName="5" name="Price Bucket" queryTableFieldId="5" dataDxfId="9"/>
    <tableColumn id="6" xr3:uid="{274FFB40-74A1-40EF-AD32-F99ED2EE6351}" uniqueName="6" name="Time Bucket" queryTableFieldId="6" dataDxfId="8"/>
    <tableColumn id="7" xr3:uid="{CB2CCDF3-86EE-4BE6-A258-0A4C423AE65E}" uniqueName="7" name="Style Classification" queryTableFieldId="7" dataDxfId="7"/>
    <tableColumn id="8" xr3:uid="{FF6249AE-835E-4A04-9EC1-A2A26D819556}" uniqueName="8" name="Local vs English Orientation" queryTableFieldId="8" dataDxfId="6"/>
    <tableColumn id="9" xr3:uid="{1C63381C-51BD-4A34-8AC8-81D4660CF8DA}" uniqueName="9" name="Cafe / Coffee / Tea?" queryTableFieldId="9" dataDxfId="5"/>
    <tableColumn id="10" xr3:uid="{AEAC2229-E7A8-4343-8F5D-E62A7D64687F}" uniqueName="10" name="Concept Signal" queryTableFieldId="10" dataDxfId="4"/>
    <tableColumn id="11" xr3:uid="{C9599D23-DE46-4007-8748-961AE7CF19F5}" uniqueName="11" name="Suggested Target Segment" queryTableFieldId="11" dataDxfId="3"/>
    <tableColumn id="12" xr3:uid="{1330C0AA-45B5-489D-B876-68C44C7AE847}" uniqueName="12" name="Address" queryTableFieldId="12" dataDxfId="2"/>
    <tableColumn id="13" xr3:uid="{EE3D27D0-69B4-4E34-AF90-EE55929F2C17}" uniqueName="13" name="Latitude" queryTableFieldId="13"/>
    <tableColumn id="14" xr3:uid="{A04112E1-5E3F-4D0E-85D6-34F58217D158}" uniqueName="14" name="Longitude" queryTableFieldId="14"/>
    <tableColumn id="15" xr3:uid="{7B7C4BA7-E86A-4FCE-A080-95EFE4E946A7}" uniqueName="15" name="Source Link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8D1E-11A8-4C5C-B743-8F2877AE6BF8}">
  <sheetPr>
    <tabColor theme="5" tint="0.79998168889431442"/>
  </sheetPr>
  <dimension ref="A1:R142"/>
  <sheetViews>
    <sheetView tabSelected="1" zoomScale="70" zoomScaleNormal="70" workbookViewId="0">
      <selection activeCell="A125" sqref="A125"/>
    </sheetView>
  </sheetViews>
  <sheetFormatPr defaultRowHeight="15"/>
  <cols>
    <col min="1" max="1" width="81.140625" bestFit="1" customWidth="1"/>
    <col min="2" max="2" width="81.140625" customWidth="1"/>
    <col min="3" max="3" width="21" bestFit="1" customWidth="1"/>
    <col min="4" max="4" width="21.7109375" bestFit="1" customWidth="1"/>
    <col min="5" max="5" width="18.85546875" bestFit="1" customWidth="1"/>
    <col min="6" max="6" width="17.28515625" bestFit="1" customWidth="1"/>
    <col min="7" max="7" width="76" bestFit="1" customWidth="1"/>
    <col min="8" max="8" width="81.140625" bestFit="1" customWidth="1"/>
    <col min="9" max="9" width="39.7109375" bestFit="1" customWidth="1"/>
    <col min="10" max="10" width="42" bestFit="1" customWidth="1"/>
    <col min="11" max="11" width="13" bestFit="1" customWidth="1"/>
    <col min="12" max="12" width="17.85546875" bestFit="1" customWidth="1"/>
    <col min="13" max="13" width="20.28515625" bestFit="1" customWidth="1"/>
    <col min="14" max="14" width="19.7109375" bestFit="1" customWidth="1"/>
    <col min="15" max="15" width="10.7109375" bestFit="1" customWidth="1"/>
    <col min="16" max="16" width="43" bestFit="1" customWidth="1"/>
    <col min="17" max="17" width="28.7109375" bestFit="1" customWidth="1"/>
    <col min="18" max="18" width="20.28515625" bestFit="1" customWidth="1"/>
    <col min="19" max="19" width="26.7109375" bestFit="1" customWidth="1"/>
    <col min="20" max="20" width="26.7109375" customWidth="1"/>
    <col min="21" max="21" width="26.7109375" bestFit="1" customWidth="1"/>
    <col min="22" max="22" width="31.5703125" bestFit="1" customWidth="1"/>
    <col min="23" max="23" width="26.7109375" bestFit="1" customWidth="1"/>
    <col min="24" max="24" width="20.5703125" customWidth="1"/>
    <col min="25" max="25" width="44.7109375" bestFit="1" customWidth="1"/>
    <col min="26" max="26" width="52.28515625" bestFit="1" customWidth="1"/>
    <col min="27" max="27" width="45.140625" bestFit="1" customWidth="1"/>
    <col min="28" max="28" width="47.5703125" bestFit="1" customWidth="1"/>
    <col min="29" max="29" width="42" bestFit="1" customWidth="1"/>
    <col min="30" max="30" width="45.28515625" bestFit="1" customWidth="1"/>
    <col min="31" max="31" width="65.85546875" bestFit="1" customWidth="1"/>
    <col min="32" max="32" width="81.140625" bestFit="1" customWidth="1"/>
    <col min="33" max="33" width="10.7109375" bestFit="1" customWidth="1"/>
    <col min="34" max="34" width="8.7109375" bestFit="1" customWidth="1"/>
    <col min="35" max="35" width="9.42578125" bestFit="1" customWidth="1"/>
    <col min="36" max="36" width="10.85546875" bestFit="1" customWidth="1"/>
    <col min="37" max="37" width="23.85546875" bestFit="1" customWidth="1"/>
    <col min="38" max="38" width="11.5703125" bestFit="1" customWidth="1"/>
    <col min="39" max="39" width="63.140625" bestFit="1" customWidth="1"/>
    <col min="40" max="40" width="13.85546875" bestFit="1" customWidth="1"/>
    <col min="41" max="41" width="31.85546875" bestFit="1" customWidth="1"/>
    <col min="42" max="43" width="81.140625" bestFit="1" customWidth="1"/>
    <col min="44" max="44" width="70" bestFit="1" customWidth="1"/>
    <col min="45" max="45" width="26.140625" bestFit="1" customWidth="1"/>
    <col min="46" max="46" width="55.5703125" bestFit="1" customWidth="1"/>
    <col min="47" max="47" width="9.7109375" bestFit="1" customWidth="1"/>
    <col min="48" max="48" width="52.85546875" bestFit="1" customWidth="1"/>
  </cols>
  <sheetData>
    <row r="1" spans="1:18">
      <c r="A1" t="s">
        <v>1008</v>
      </c>
      <c r="B1" t="s">
        <v>1009</v>
      </c>
      <c r="C1" t="s">
        <v>1010</v>
      </c>
      <c r="D1" t="s">
        <v>1011</v>
      </c>
      <c r="E1" t="s">
        <v>1129</v>
      </c>
      <c r="F1" t="s">
        <v>1012</v>
      </c>
      <c r="G1" t="s">
        <v>1144</v>
      </c>
      <c r="H1" t="s">
        <v>1152</v>
      </c>
      <c r="I1" t="s">
        <v>1150</v>
      </c>
      <c r="J1" t="s">
        <v>1151</v>
      </c>
      <c r="K1" t="s">
        <v>1224</v>
      </c>
      <c r="L1" t="s">
        <v>1247</v>
      </c>
      <c r="M1" t="s">
        <v>1153</v>
      </c>
      <c r="N1" t="s">
        <v>1154</v>
      </c>
      <c r="O1" t="s">
        <v>1175</v>
      </c>
      <c r="P1" t="s">
        <v>1686</v>
      </c>
      <c r="Q1" t="s">
        <v>1242</v>
      </c>
      <c r="R1" t="s">
        <v>1243</v>
      </c>
    </row>
    <row r="2" spans="1:18">
      <c r="A2" t="s">
        <v>195</v>
      </c>
      <c r="B2" t="s">
        <v>196</v>
      </c>
      <c r="C2">
        <v>4.9000000000000004</v>
      </c>
      <c r="D2">
        <v>19105</v>
      </c>
      <c r="E2" t="s">
        <v>22</v>
      </c>
      <c r="F2" s="1">
        <v>0.41666666666666669</v>
      </c>
      <c r="G2" t="s">
        <v>1037</v>
      </c>
      <c r="H2" t="s">
        <v>199</v>
      </c>
      <c r="I2">
        <v>10.774217999999999</v>
      </c>
      <c r="J2">
        <v>106.69660589999999</v>
      </c>
      <c r="K2" t="s">
        <v>1123</v>
      </c>
      <c r="L2" t="s">
        <v>1248</v>
      </c>
      <c r="M2" t="s">
        <v>1138</v>
      </c>
      <c r="N2" t="s">
        <v>1155</v>
      </c>
      <c r="O2">
        <v>1</v>
      </c>
      <c r="P2" t="s">
        <v>1178</v>
      </c>
      <c r="Q2" t="s">
        <v>1179</v>
      </c>
      <c r="R2" t="s">
        <v>1180</v>
      </c>
    </row>
    <row r="3" spans="1:18">
      <c r="A3" t="s">
        <v>1335</v>
      </c>
      <c r="B3" t="s">
        <v>1336</v>
      </c>
      <c r="C3">
        <v>4.3</v>
      </c>
      <c r="D3">
        <v>12589</v>
      </c>
      <c r="E3" t="s">
        <v>22</v>
      </c>
      <c r="F3" s="1"/>
      <c r="G3" t="s">
        <v>1337</v>
      </c>
      <c r="H3" t="s">
        <v>1338</v>
      </c>
      <c r="I3">
        <v>10.7773167</v>
      </c>
      <c r="J3">
        <v>106.6977562</v>
      </c>
      <c r="K3" t="s">
        <v>1123</v>
      </c>
      <c r="L3" t="s">
        <v>1248</v>
      </c>
      <c r="M3" t="s">
        <v>1138</v>
      </c>
      <c r="N3" t="s">
        <v>1157</v>
      </c>
      <c r="O3">
        <v>2</v>
      </c>
      <c r="P3" t="s">
        <v>1189</v>
      </c>
      <c r="Q3" t="s">
        <v>1179</v>
      </c>
      <c r="R3" t="s">
        <v>1180</v>
      </c>
    </row>
    <row r="4" spans="1:18">
      <c r="A4" t="s">
        <v>752</v>
      </c>
      <c r="B4" t="s">
        <v>753</v>
      </c>
      <c r="C4">
        <v>4.9000000000000004</v>
      </c>
      <c r="D4">
        <v>11763</v>
      </c>
      <c r="E4" t="s">
        <v>22</v>
      </c>
      <c r="F4" s="1">
        <v>0.4375</v>
      </c>
      <c r="G4" t="s">
        <v>1100</v>
      </c>
      <c r="H4" t="s">
        <v>754</v>
      </c>
      <c r="I4">
        <v>10.7682442</v>
      </c>
      <c r="J4">
        <v>106.6936304</v>
      </c>
      <c r="K4" t="s">
        <v>1123</v>
      </c>
      <c r="L4" t="s">
        <v>1249</v>
      </c>
      <c r="M4" t="s">
        <v>1138</v>
      </c>
      <c r="N4" t="s">
        <v>1155</v>
      </c>
      <c r="O4">
        <v>3</v>
      </c>
      <c r="P4" t="s">
        <v>1181</v>
      </c>
      <c r="Q4" t="s">
        <v>1179</v>
      </c>
      <c r="R4" t="s">
        <v>1180</v>
      </c>
    </row>
    <row r="5" spans="1:18">
      <c r="A5" t="s">
        <v>435</v>
      </c>
      <c r="B5" t="s">
        <v>436</v>
      </c>
      <c r="C5">
        <v>4.9000000000000004</v>
      </c>
      <c r="D5">
        <v>11585</v>
      </c>
      <c r="E5" t="s">
        <v>22</v>
      </c>
      <c r="F5" s="1">
        <v>0.41666666666666669</v>
      </c>
      <c r="G5" t="s">
        <v>1063</v>
      </c>
      <c r="H5" t="s">
        <v>439</v>
      </c>
      <c r="I5">
        <v>10.7726481</v>
      </c>
      <c r="J5">
        <v>106.69648359999999</v>
      </c>
      <c r="K5" t="s">
        <v>1123</v>
      </c>
      <c r="L5" t="s">
        <v>1249</v>
      </c>
      <c r="M5" t="s">
        <v>1138</v>
      </c>
      <c r="N5" t="s">
        <v>1155</v>
      </c>
      <c r="O5">
        <v>4</v>
      </c>
      <c r="P5" t="s">
        <v>1181</v>
      </c>
      <c r="Q5" t="s">
        <v>1179</v>
      </c>
      <c r="R5" t="s">
        <v>1180</v>
      </c>
    </row>
    <row r="6" spans="1:18">
      <c r="A6" t="s">
        <v>1342</v>
      </c>
      <c r="B6" t="s">
        <v>1343</v>
      </c>
      <c r="C6">
        <v>4.4000000000000004</v>
      </c>
      <c r="D6">
        <v>4565</v>
      </c>
      <c r="E6" t="s">
        <v>34</v>
      </c>
      <c r="F6" s="1"/>
      <c r="G6" t="s">
        <v>1344</v>
      </c>
      <c r="H6" t="s">
        <v>1345</v>
      </c>
      <c r="I6">
        <v>10.778780599999999</v>
      </c>
      <c r="J6">
        <v>106.6981583</v>
      </c>
      <c r="K6" t="s">
        <v>1123</v>
      </c>
      <c r="L6" t="s">
        <v>1252</v>
      </c>
      <c r="M6" t="s">
        <v>1156</v>
      </c>
      <c r="N6" t="s">
        <v>1157</v>
      </c>
      <c r="O6">
        <v>7</v>
      </c>
      <c r="P6" t="s">
        <v>1181</v>
      </c>
      <c r="Q6" t="s">
        <v>1179</v>
      </c>
      <c r="R6" t="s">
        <v>1180</v>
      </c>
    </row>
    <row r="7" spans="1:18">
      <c r="A7" t="s">
        <v>1346</v>
      </c>
      <c r="B7" t="s">
        <v>1347</v>
      </c>
      <c r="C7">
        <v>4.9000000000000004</v>
      </c>
      <c r="D7">
        <v>3679</v>
      </c>
      <c r="E7" t="s">
        <v>22</v>
      </c>
      <c r="F7" s="1"/>
      <c r="G7" t="s">
        <v>1348</v>
      </c>
      <c r="H7" t="s">
        <v>1349</v>
      </c>
      <c r="I7">
        <v>10.7771971</v>
      </c>
      <c r="J7">
        <v>106.700107</v>
      </c>
      <c r="K7" t="s">
        <v>1123</v>
      </c>
      <c r="L7" t="s">
        <v>1252</v>
      </c>
      <c r="M7" t="s">
        <v>1138</v>
      </c>
      <c r="N7" t="s">
        <v>1157</v>
      </c>
      <c r="O7">
        <v>8</v>
      </c>
      <c r="P7" t="s">
        <v>1178</v>
      </c>
      <c r="Q7" t="s">
        <v>1179</v>
      </c>
      <c r="R7" t="s">
        <v>1180</v>
      </c>
    </row>
    <row r="8" spans="1:18">
      <c r="A8" t="s">
        <v>1350</v>
      </c>
      <c r="B8" t="s">
        <v>1351</v>
      </c>
      <c r="C8">
        <v>4.5999999999999996</v>
      </c>
      <c r="D8">
        <v>3635</v>
      </c>
      <c r="E8" t="s">
        <v>34</v>
      </c>
      <c r="F8" s="1"/>
      <c r="G8" t="s">
        <v>1352</v>
      </c>
      <c r="H8" t="s">
        <v>1353</v>
      </c>
      <c r="I8">
        <v>10.7798149</v>
      </c>
      <c r="J8">
        <v>106.7029294</v>
      </c>
      <c r="K8" t="s">
        <v>1123</v>
      </c>
      <c r="L8" t="s">
        <v>1252</v>
      </c>
      <c r="M8" t="s">
        <v>1156</v>
      </c>
      <c r="N8" t="s">
        <v>1157</v>
      </c>
      <c r="O8">
        <v>9</v>
      </c>
      <c r="P8" t="s">
        <v>1181</v>
      </c>
      <c r="Q8" t="s">
        <v>1179</v>
      </c>
      <c r="R8" t="s">
        <v>1180</v>
      </c>
    </row>
    <row r="9" spans="1:18">
      <c r="A9" t="s">
        <v>1354</v>
      </c>
      <c r="B9" t="s">
        <v>1355</v>
      </c>
      <c r="C9">
        <v>4.8</v>
      </c>
      <c r="D9">
        <v>3412</v>
      </c>
      <c r="E9" t="s">
        <v>34</v>
      </c>
      <c r="F9" s="1"/>
      <c r="G9" t="s">
        <v>1356</v>
      </c>
      <c r="H9" t="s">
        <v>1357</v>
      </c>
      <c r="I9">
        <v>10.776173099999999</v>
      </c>
      <c r="J9">
        <v>106.7048075</v>
      </c>
      <c r="K9" t="s">
        <v>1123</v>
      </c>
      <c r="L9" t="s">
        <v>1252</v>
      </c>
      <c r="M9" t="s">
        <v>1156</v>
      </c>
      <c r="N9" t="s">
        <v>1157</v>
      </c>
      <c r="O9">
        <v>10</v>
      </c>
      <c r="P9" t="s">
        <v>1181</v>
      </c>
      <c r="Q9" t="s">
        <v>1179</v>
      </c>
      <c r="R9" t="s">
        <v>1180</v>
      </c>
    </row>
    <row r="10" spans="1:18">
      <c r="A10" t="s">
        <v>1358</v>
      </c>
      <c r="B10" t="s">
        <v>1359</v>
      </c>
      <c r="C10">
        <v>4.5999999999999996</v>
      </c>
      <c r="D10">
        <v>3201</v>
      </c>
      <c r="E10" t="s">
        <v>22</v>
      </c>
      <c r="F10" s="1"/>
      <c r="G10" t="s">
        <v>1360</v>
      </c>
      <c r="H10" t="s">
        <v>1361</v>
      </c>
      <c r="I10">
        <v>10.7791987</v>
      </c>
      <c r="J10">
        <v>106.7005186</v>
      </c>
      <c r="K10" t="s">
        <v>1123</v>
      </c>
      <c r="L10" t="s">
        <v>1252</v>
      </c>
      <c r="M10" t="s">
        <v>1138</v>
      </c>
      <c r="N10" t="s">
        <v>1157</v>
      </c>
      <c r="O10">
        <v>11</v>
      </c>
      <c r="P10" t="s">
        <v>1189</v>
      </c>
      <c r="Q10" t="s">
        <v>1179</v>
      </c>
      <c r="R10" t="s">
        <v>1180</v>
      </c>
    </row>
    <row r="11" spans="1:18">
      <c r="A11" t="s">
        <v>1362</v>
      </c>
      <c r="B11" t="s">
        <v>1363</v>
      </c>
      <c r="C11">
        <v>4.8</v>
      </c>
      <c r="D11">
        <v>2821</v>
      </c>
      <c r="E11" t="s">
        <v>22</v>
      </c>
      <c r="F11" s="1"/>
      <c r="G11" t="s">
        <v>1364</v>
      </c>
      <c r="H11" t="s">
        <v>1365</v>
      </c>
      <c r="I11">
        <v>10.7771626</v>
      </c>
      <c r="J11">
        <v>106.70015069999999</v>
      </c>
      <c r="K11" t="s">
        <v>1123</v>
      </c>
      <c r="L11" t="s">
        <v>1252</v>
      </c>
      <c r="M11" t="s">
        <v>1138</v>
      </c>
      <c r="N11" t="s">
        <v>1157</v>
      </c>
      <c r="O11">
        <v>12</v>
      </c>
      <c r="P11" t="s">
        <v>1178</v>
      </c>
      <c r="Q11" t="s">
        <v>1179</v>
      </c>
      <c r="R11" t="s">
        <v>1180</v>
      </c>
    </row>
    <row r="12" spans="1:18">
      <c r="A12" t="s">
        <v>253</v>
      </c>
      <c r="B12" t="s">
        <v>254</v>
      </c>
      <c r="C12">
        <v>4.9000000000000004</v>
      </c>
      <c r="D12">
        <v>2810</v>
      </c>
      <c r="E12" t="s">
        <v>34</v>
      </c>
      <c r="F12" s="1">
        <v>0.33333333333333331</v>
      </c>
      <c r="G12" t="s">
        <v>1044</v>
      </c>
      <c r="H12" t="s">
        <v>256</v>
      </c>
      <c r="I12">
        <v>10.7719456</v>
      </c>
      <c r="J12">
        <v>106.6939273</v>
      </c>
      <c r="K12" t="s">
        <v>1123</v>
      </c>
      <c r="L12" t="s">
        <v>1249</v>
      </c>
      <c r="M12" t="s">
        <v>1156</v>
      </c>
      <c r="N12" t="s">
        <v>1155</v>
      </c>
      <c r="O12">
        <v>13</v>
      </c>
      <c r="P12" t="s">
        <v>1181</v>
      </c>
      <c r="Q12" t="s">
        <v>1179</v>
      </c>
      <c r="R12" t="s">
        <v>1180</v>
      </c>
    </row>
    <row r="13" spans="1:18">
      <c r="A13" t="s">
        <v>79</v>
      </c>
      <c r="B13" t="s">
        <v>80</v>
      </c>
      <c r="C13">
        <v>4.9000000000000004</v>
      </c>
      <c r="D13">
        <v>2355</v>
      </c>
      <c r="E13" t="s">
        <v>22</v>
      </c>
      <c r="F13" s="1">
        <v>0.39583333333333331</v>
      </c>
      <c r="G13" t="s">
        <v>1021</v>
      </c>
      <c r="H13" t="s">
        <v>84</v>
      </c>
      <c r="I13">
        <v>10.793559</v>
      </c>
      <c r="J13">
        <v>106.686756</v>
      </c>
      <c r="K13" t="s">
        <v>1123</v>
      </c>
      <c r="L13" t="s">
        <v>1250</v>
      </c>
      <c r="M13" t="s">
        <v>1138</v>
      </c>
      <c r="N13" t="s">
        <v>1155</v>
      </c>
      <c r="O13">
        <v>14</v>
      </c>
      <c r="P13" t="s">
        <v>1178</v>
      </c>
      <c r="Q13" t="s">
        <v>1179</v>
      </c>
      <c r="R13" t="s">
        <v>1180</v>
      </c>
    </row>
    <row r="14" spans="1:18">
      <c r="A14" t="s">
        <v>1366</v>
      </c>
      <c r="B14" t="s">
        <v>1367</v>
      </c>
      <c r="C14">
        <v>4.5</v>
      </c>
      <c r="D14">
        <v>2353</v>
      </c>
      <c r="E14" t="s">
        <v>34</v>
      </c>
      <c r="F14" s="1"/>
      <c r="G14" t="s">
        <v>1368</v>
      </c>
      <c r="H14" t="s">
        <v>1369</v>
      </c>
      <c r="I14">
        <v>10.7785004</v>
      </c>
      <c r="J14">
        <v>106.70377449999999</v>
      </c>
      <c r="K14" t="s">
        <v>1123</v>
      </c>
      <c r="L14" t="s">
        <v>1252</v>
      </c>
      <c r="M14" t="s">
        <v>1156</v>
      </c>
      <c r="N14" t="s">
        <v>1157</v>
      </c>
      <c r="O14">
        <v>15</v>
      </c>
      <c r="P14" t="s">
        <v>1181</v>
      </c>
      <c r="Q14" t="s">
        <v>1179</v>
      </c>
      <c r="R14" t="s">
        <v>1180</v>
      </c>
    </row>
    <row r="15" spans="1:18">
      <c r="A15" t="s">
        <v>50</v>
      </c>
      <c r="B15" t="s">
        <v>51</v>
      </c>
      <c r="C15">
        <v>4.8</v>
      </c>
      <c r="D15">
        <v>2220</v>
      </c>
      <c r="E15" t="s">
        <v>34</v>
      </c>
      <c r="F15" s="1">
        <v>0.41666666666666669</v>
      </c>
      <c r="G15" t="s">
        <v>1017</v>
      </c>
      <c r="H15" t="s">
        <v>58</v>
      </c>
      <c r="I15">
        <v>10.7733531</v>
      </c>
      <c r="J15">
        <v>106.7038615</v>
      </c>
      <c r="K15" t="s">
        <v>1123</v>
      </c>
      <c r="L15" t="s">
        <v>1251</v>
      </c>
      <c r="M15" t="s">
        <v>1156</v>
      </c>
      <c r="N15" t="s">
        <v>1155</v>
      </c>
      <c r="O15">
        <v>16</v>
      </c>
      <c r="P15" t="s">
        <v>1181</v>
      </c>
      <c r="Q15" t="s">
        <v>1179</v>
      </c>
      <c r="R15" t="s">
        <v>1180</v>
      </c>
    </row>
    <row r="16" spans="1:18">
      <c r="A16" t="s">
        <v>1370</v>
      </c>
      <c r="B16" t="s">
        <v>1371</v>
      </c>
      <c r="C16">
        <v>4.5</v>
      </c>
      <c r="D16">
        <v>2197</v>
      </c>
      <c r="E16" t="s">
        <v>34</v>
      </c>
      <c r="F16" s="1"/>
      <c r="G16" t="s">
        <v>1372</v>
      </c>
      <c r="H16" t="s">
        <v>1373</v>
      </c>
      <c r="I16">
        <v>10.777139999999999</v>
      </c>
      <c r="J16">
        <v>106.70423599999999</v>
      </c>
      <c r="K16" t="s">
        <v>1123</v>
      </c>
      <c r="L16" t="s">
        <v>1252</v>
      </c>
      <c r="M16" t="s">
        <v>1156</v>
      </c>
      <c r="N16" t="s">
        <v>1157</v>
      </c>
      <c r="O16">
        <v>17</v>
      </c>
      <c r="P16" t="s">
        <v>1187</v>
      </c>
      <c r="Q16" t="s">
        <v>1198</v>
      </c>
      <c r="R16" t="s">
        <v>1180</v>
      </c>
    </row>
    <row r="17" spans="1:18">
      <c r="A17" t="s">
        <v>1374</v>
      </c>
      <c r="B17" t="s">
        <v>1375</v>
      </c>
      <c r="C17">
        <v>4.5</v>
      </c>
      <c r="D17">
        <v>2112</v>
      </c>
      <c r="E17" t="s">
        <v>34</v>
      </c>
      <c r="F17" s="1"/>
      <c r="G17" t="s">
        <v>1376</v>
      </c>
      <c r="H17" t="s">
        <v>1377</v>
      </c>
      <c r="I17">
        <v>10.7787276</v>
      </c>
      <c r="J17">
        <v>106.6980638</v>
      </c>
      <c r="K17" t="s">
        <v>1123</v>
      </c>
      <c r="L17" t="s">
        <v>1252</v>
      </c>
      <c r="M17" t="s">
        <v>1156</v>
      </c>
      <c r="N17" t="s">
        <v>1157</v>
      </c>
      <c r="O17">
        <v>19</v>
      </c>
      <c r="P17" t="s">
        <v>1191</v>
      </c>
      <c r="Q17" t="s">
        <v>1179</v>
      </c>
      <c r="R17" t="s">
        <v>1135</v>
      </c>
    </row>
    <row r="18" spans="1:18">
      <c r="A18" t="s">
        <v>64</v>
      </c>
      <c r="B18" t="s">
        <v>65</v>
      </c>
      <c r="C18">
        <v>4.9000000000000004</v>
      </c>
      <c r="D18">
        <v>1857</v>
      </c>
      <c r="E18" t="s">
        <v>22</v>
      </c>
      <c r="F18" s="1">
        <v>0.41666666666666669</v>
      </c>
      <c r="G18" t="s">
        <v>1019</v>
      </c>
      <c r="H18" t="s">
        <v>66</v>
      </c>
      <c r="I18">
        <v>10.774103</v>
      </c>
      <c r="J18">
        <v>106.7041327</v>
      </c>
      <c r="K18" t="s">
        <v>1123</v>
      </c>
      <c r="L18" t="s">
        <v>1252</v>
      </c>
      <c r="M18" t="s">
        <v>1138</v>
      </c>
      <c r="N18" t="s">
        <v>1155</v>
      </c>
      <c r="O18">
        <v>21</v>
      </c>
      <c r="P18" t="s">
        <v>1181</v>
      </c>
      <c r="Q18" t="s">
        <v>1179</v>
      </c>
      <c r="R18" t="s">
        <v>1180</v>
      </c>
    </row>
    <row r="19" spans="1:18">
      <c r="A19" t="s">
        <v>1378</v>
      </c>
      <c r="B19" t="s">
        <v>1379</v>
      </c>
      <c r="C19">
        <v>4.9000000000000004</v>
      </c>
      <c r="D19">
        <v>1815</v>
      </c>
      <c r="E19" t="s">
        <v>34</v>
      </c>
      <c r="F19" s="1"/>
      <c r="G19" t="s">
        <v>1380</v>
      </c>
      <c r="H19" t="s">
        <v>1381</v>
      </c>
      <c r="I19">
        <v>10.7771121</v>
      </c>
      <c r="J19">
        <v>106.70397490000001</v>
      </c>
      <c r="K19" t="s">
        <v>1123</v>
      </c>
      <c r="L19" t="s">
        <v>1252</v>
      </c>
      <c r="M19" t="s">
        <v>1156</v>
      </c>
      <c r="N19" t="s">
        <v>1157</v>
      </c>
      <c r="O19">
        <v>22</v>
      </c>
      <c r="P19" t="s">
        <v>1181</v>
      </c>
      <c r="Q19" t="s">
        <v>1179</v>
      </c>
      <c r="R19" t="s">
        <v>1180</v>
      </c>
    </row>
    <row r="20" spans="1:18">
      <c r="A20" t="s">
        <v>410</v>
      </c>
      <c r="B20" t="s">
        <v>411</v>
      </c>
      <c r="C20">
        <v>4.9000000000000004</v>
      </c>
      <c r="D20">
        <v>1600</v>
      </c>
      <c r="E20" t="s">
        <v>126</v>
      </c>
      <c r="F20" s="1"/>
      <c r="G20" t="s">
        <v>1061</v>
      </c>
      <c r="H20" t="s">
        <v>417</v>
      </c>
      <c r="I20">
        <v>10.7723259</v>
      </c>
      <c r="J20">
        <v>106.6945746</v>
      </c>
      <c r="K20" t="s">
        <v>1123</v>
      </c>
      <c r="L20" t="s">
        <v>1249</v>
      </c>
      <c r="M20" t="s">
        <v>1142</v>
      </c>
      <c r="N20" t="s">
        <v>1157</v>
      </c>
      <c r="O20">
        <v>23</v>
      </c>
      <c r="P20" t="s">
        <v>1189</v>
      </c>
      <c r="Q20" t="s">
        <v>1179</v>
      </c>
      <c r="R20" t="s">
        <v>1180</v>
      </c>
    </row>
    <row r="21" spans="1:18">
      <c r="A21" t="s">
        <v>151</v>
      </c>
      <c r="B21" t="s">
        <v>152</v>
      </c>
      <c r="C21">
        <v>4.7</v>
      </c>
      <c r="D21">
        <v>1452</v>
      </c>
      <c r="E21" t="s">
        <v>34</v>
      </c>
      <c r="F21" s="1">
        <v>0.375</v>
      </c>
      <c r="G21" t="s">
        <v>1031</v>
      </c>
      <c r="H21" t="s">
        <v>156</v>
      </c>
      <c r="I21">
        <v>10.7795135</v>
      </c>
      <c r="J21">
        <v>106.7026522</v>
      </c>
      <c r="K21" t="s">
        <v>1123</v>
      </c>
      <c r="L21" t="s">
        <v>1252</v>
      </c>
      <c r="M21" t="s">
        <v>1156</v>
      </c>
      <c r="N21" t="s">
        <v>1155</v>
      </c>
      <c r="O21">
        <v>24</v>
      </c>
      <c r="P21" t="s">
        <v>1181</v>
      </c>
      <c r="Q21" t="s">
        <v>1179</v>
      </c>
      <c r="R21" t="s">
        <v>1180</v>
      </c>
    </row>
    <row r="22" spans="1:18">
      <c r="A22" t="s">
        <v>217</v>
      </c>
      <c r="B22" t="s">
        <v>218</v>
      </c>
      <c r="C22">
        <v>4.9000000000000004</v>
      </c>
      <c r="D22">
        <v>1419</v>
      </c>
      <c r="E22" t="s">
        <v>22</v>
      </c>
      <c r="F22" s="1">
        <v>0.35416666666666669</v>
      </c>
      <c r="G22" t="s">
        <v>1041</v>
      </c>
      <c r="H22" t="s">
        <v>219</v>
      </c>
      <c r="I22">
        <v>10.771664299999999</v>
      </c>
      <c r="J22">
        <v>106.6950738</v>
      </c>
      <c r="K22" t="s">
        <v>1123</v>
      </c>
      <c r="L22" t="s">
        <v>1248</v>
      </c>
      <c r="M22" t="s">
        <v>1138</v>
      </c>
      <c r="N22" t="s">
        <v>1155</v>
      </c>
      <c r="O22">
        <v>25</v>
      </c>
      <c r="P22" t="s">
        <v>1191</v>
      </c>
      <c r="Q22" t="s">
        <v>1179</v>
      </c>
      <c r="R22" t="s">
        <v>1135</v>
      </c>
    </row>
    <row r="23" spans="1:18">
      <c r="A23" t="s">
        <v>85</v>
      </c>
      <c r="B23" t="s">
        <v>86</v>
      </c>
      <c r="C23">
        <v>4.9000000000000004</v>
      </c>
      <c r="D23">
        <v>1407</v>
      </c>
      <c r="E23" t="s">
        <v>22</v>
      </c>
      <c r="F23" s="1">
        <v>0.33333333333333331</v>
      </c>
      <c r="G23" t="s">
        <v>1022</v>
      </c>
      <c r="H23" t="s">
        <v>88</v>
      </c>
      <c r="I23">
        <v>10.7741206</v>
      </c>
      <c r="J23">
        <v>106.6975015</v>
      </c>
      <c r="K23" t="s">
        <v>1123</v>
      </c>
      <c r="L23" t="s">
        <v>1248</v>
      </c>
      <c r="M23" t="s">
        <v>1138</v>
      </c>
      <c r="N23" t="s">
        <v>1155</v>
      </c>
      <c r="O23">
        <v>26</v>
      </c>
      <c r="P23" t="s">
        <v>1191</v>
      </c>
      <c r="Q23" t="s">
        <v>1179</v>
      </c>
      <c r="R23" t="s">
        <v>1135</v>
      </c>
    </row>
    <row r="24" spans="1:18">
      <c r="A24" t="s">
        <v>1382</v>
      </c>
      <c r="B24" t="s">
        <v>51</v>
      </c>
      <c r="C24">
        <v>4.8</v>
      </c>
      <c r="D24">
        <v>1365</v>
      </c>
      <c r="E24" t="s">
        <v>34</v>
      </c>
      <c r="F24" s="1"/>
      <c r="G24" t="s">
        <v>1383</v>
      </c>
      <c r="H24" t="s">
        <v>60</v>
      </c>
      <c r="I24">
        <v>10.784419</v>
      </c>
      <c r="J24">
        <v>106.697799</v>
      </c>
      <c r="K24" t="s">
        <v>1123</v>
      </c>
      <c r="L24" t="s">
        <v>1253</v>
      </c>
      <c r="M24" t="s">
        <v>1156</v>
      </c>
      <c r="N24" t="s">
        <v>1157</v>
      </c>
      <c r="O24">
        <v>28</v>
      </c>
      <c r="P24" t="s">
        <v>1181</v>
      </c>
      <c r="Q24" t="s">
        <v>1179</v>
      </c>
      <c r="R24" t="s">
        <v>1180</v>
      </c>
    </row>
    <row r="25" spans="1:18">
      <c r="A25" t="s">
        <v>59</v>
      </c>
      <c r="B25" t="s">
        <v>51</v>
      </c>
      <c r="C25">
        <v>4.8</v>
      </c>
      <c r="D25">
        <v>1365</v>
      </c>
      <c r="E25" t="s">
        <v>34</v>
      </c>
      <c r="F25" s="1">
        <v>0.41666666666666669</v>
      </c>
      <c r="G25" t="s">
        <v>1018</v>
      </c>
      <c r="H25" t="s">
        <v>60</v>
      </c>
      <c r="I25">
        <v>10.7844192</v>
      </c>
      <c r="J25">
        <v>106.6977993</v>
      </c>
      <c r="K25" t="s">
        <v>1123</v>
      </c>
      <c r="L25" t="s">
        <v>1253</v>
      </c>
      <c r="M25" t="s">
        <v>1156</v>
      </c>
      <c r="N25" t="s">
        <v>1155</v>
      </c>
      <c r="O25">
        <v>27</v>
      </c>
      <c r="P25" t="s">
        <v>1181</v>
      </c>
      <c r="Q25" t="s">
        <v>1179</v>
      </c>
      <c r="R25" t="s">
        <v>1180</v>
      </c>
    </row>
    <row r="26" spans="1:18">
      <c r="A26" t="s">
        <v>418</v>
      </c>
      <c r="B26" t="s">
        <v>419</v>
      </c>
      <c r="C26">
        <v>4.7</v>
      </c>
      <c r="D26">
        <v>1269</v>
      </c>
      <c r="E26" t="s">
        <v>22</v>
      </c>
      <c r="F26" s="1">
        <v>0.41666666666666669</v>
      </c>
      <c r="G26" t="s">
        <v>1062</v>
      </c>
      <c r="H26" t="s">
        <v>422</v>
      </c>
      <c r="I26">
        <v>10.771598600000001</v>
      </c>
      <c r="J26">
        <v>106.6885602</v>
      </c>
      <c r="K26" t="s">
        <v>1123</v>
      </c>
      <c r="L26" t="s">
        <v>1248</v>
      </c>
      <c r="M26" t="s">
        <v>1138</v>
      </c>
      <c r="N26" t="s">
        <v>1155</v>
      </c>
      <c r="O26">
        <v>29</v>
      </c>
      <c r="P26" t="s">
        <v>1181</v>
      </c>
      <c r="Q26" t="s">
        <v>1179</v>
      </c>
      <c r="R26" t="s">
        <v>1180</v>
      </c>
    </row>
    <row r="27" spans="1:18">
      <c r="A27" t="s">
        <v>200</v>
      </c>
      <c r="B27" t="s">
        <v>201</v>
      </c>
      <c r="C27">
        <v>4.5</v>
      </c>
      <c r="D27">
        <v>1242</v>
      </c>
      <c r="E27" t="s">
        <v>34</v>
      </c>
      <c r="F27" s="1">
        <v>0.41666666666666669</v>
      </c>
      <c r="G27" t="s">
        <v>1038</v>
      </c>
      <c r="H27" t="s">
        <v>204</v>
      </c>
      <c r="I27">
        <v>10.786464</v>
      </c>
      <c r="J27">
        <v>106.694317</v>
      </c>
      <c r="K27" t="s">
        <v>1123</v>
      </c>
      <c r="L27" t="s">
        <v>1253</v>
      </c>
      <c r="M27" t="s">
        <v>1156</v>
      </c>
      <c r="N27" t="s">
        <v>1155</v>
      </c>
      <c r="O27">
        <v>30</v>
      </c>
      <c r="P27" t="s">
        <v>1181</v>
      </c>
      <c r="Q27" t="s">
        <v>1179</v>
      </c>
      <c r="R27" t="s">
        <v>1180</v>
      </c>
    </row>
    <row r="28" spans="1:18">
      <c r="A28" t="s">
        <v>1384</v>
      </c>
      <c r="B28" t="s">
        <v>1385</v>
      </c>
      <c r="C28">
        <v>4.5</v>
      </c>
      <c r="D28">
        <v>1201</v>
      </c>
      <c r="E28" t="s">
        <v>1386</v>
      </c>
      <c r="F28" s="1">
        <v>0.72916666666666663</v>
      </c>
      <c r="G28" t="s">
        <v>1387</v>
      </c>
      <c r="H28" t="s">
        <v>1388</v>
      </c>
      <c r="I28">
        <v>10.7778086</v>
      </c>
      <c r="J28">
        <v>106.7046515</v>
      </c>
      <c r="K28" t="s">
        <v>1123</v>
      </c>
      <c r="L28" t="s">
        <v>1252</v>
      </c>
      <c r="M28" t="s">
        <v>1157</v>
      </c>
      <c r="N28" t="s">
        <v>1160</v>
      </c>
      <c r="O28">
        <v>31</v>
      </c>
      <c r="P28" t="s">
        <v>1181</v>
      </c>
      <c r="Q28" t="s">
        <v>1179</v>
      </c>
      <c r="R28" t="s">
        <v>1180</v>
      </c>
    </row>
    <row r="29" spans="1:18">
      <c r="A29" t="s">
        <v>351</v>
      </c>
      <c r="B29" t="s">
        <v>352</v>
      </c>
      <c r="C29">
        <v>4.3</v>
      </c>
      <c r="D29">
        <v>1061</v>
      </c>
      <c r="E29" t="s">
        <v>22</v>
      </c>
      <c r="F29" s="1">
        <v>0.33333333333333331</v>
      </c>
      <c r="G29" t="s">
        <v>1053</v>
      </c>
      <c r="H29" t="s">
        <v>355</v>
      </c>
      <c r="I29">
        <v>10.7889806</v>
      </c>
      <c r="J29">
        <v>106.69825830000001</v>
      </c>
      <c r="K29" t="s">
        <v>1123</v>
      </c>
      <c r="L29" t="s">
        <v>1253</v>
      </c>
      <c r="M29" t="s">
        <v>1138</v>
      </c>
      <c r="N29" t="s">
        <v>1155</v>
      </c>
      <c r="O29">
        <v>32</v>
      </c>
      <c r="P29" t="s">
        <v>1191</v>
      </c>
      <c r="Q29" t="s">
        <v>1179</v>
      </c>
      <c r="R29" t="s">
        <v>1135</v>
      </c>
    </row>
    <row r="30" spans="1:18">
      <c r="A30" t="s">
        <v>107</v>
      </c>
      <c r="B30" t="s">
        <v>108</v>
      </c>
      <c r="C30">
        <v>4.9000000000000004</v>
      </c>
      <c r="D30">
        <v>1025</v>
      </c>
      <c r="E30" t="s">
        <v>22</v>
      </c>
      <c r="F30" s="1">
        <v>0.41666666666666669</v>
      </c>
      <c r="G30" t="s">
        <v>1025</v>
      </c>
      <c r="H30" t="s">
        <v>109</v>
      </c>
      <c r="I30">
        <v>10.788874099999999</v>
      </c>
      <c r="J30">
        <v>106.6916512</v>
      </c>
      <c r="K30" t="s">
        <v>1123</v>
      </c>
      <c r="L30" t="s">
        <v>1250</v>
      </c>
      <c r="M30" t="s">
        <v>1138</v>
      </c>
      <c r="N30" t="s">
        <v>1155</v>
      </c>
      <c r="O30">
        <v>33</v>
      </c>
      <c r="P30" t="s">
        <v>1181</v>
      </c>
      <c r="Q30" t="s">
        <v>1179</v>
      </c>
      <c r="R30" t="s">
        <v>1180</v>
      </c>
    </row>
    <row r="31" spans="1:18">
      <c r="A31" t="s">
        <v>1389</v>
      </c>
      <c r="B31" t="s">
        <v>1390</v>
      </c>
      <c r="C31">
        <v>4.7</v>
      </c>
      <c r="D31">
        <v>1024</v>
      </c>
      <c r="E31" t="s">
        <v>22</v>
      </c>
      <c r="F31" s="1"/>
      <c r="G31" t="s">
        <v>1391</v>
      </c>
      <c r="H31" t="s">
        <v>1392</v>
      </c>
      <c r="I31">
        <v>10.778228</v>
      </c>
      <c r="J31">
        <v>106.6990193</v>
      </c>
      <c r="K31" t="s">
        <v>1123</v>
      </c>
      <c r="L31" t="s">
        <v>1248</v>
      </c>
      <c r="M31" t="s">
        <v>1138</v>
      </c>
      <c r="N31" t="s">
        <v>1157</v>
      </c>
      <c r="O31">
        <v>34</v>
      </c>
      <c r="P31" t="s">
        <v>1187</v>
      </c>
      <c r="Q31" t="s">
        <v>1198</v>
      </c>
      <c r="R31" t="s">
        <v>1180</v>
      </c>
    </row>
    <row r="32" spans="1:18">
      <c r="A32" t="s">
        <v>1393</v>
      </c>
      <c r="B32" t="s">
        <v>1394</v>
      </c>
      <c r="C32">
        <v>4.5999999999999996</v>
      </c>
      <c r="D32">
        <v>954</v>
      </c>
      <c r="E32" t="s">
        <v>34</v>
      </c>
      <c r="F32" s="1"/>
      <c r="G32" t="s">
        <v>1395</v>
      </c>
      <c r="H32" t="s">
        <v>1396</v>
      </c>
      <c r="I32">
        <v>10.780241800000001</v>
      </c>
      <c r="J32">
        <v>106.7046589</v>
      </c>
      <c r="K32" t="s">
        <v>1123</v>
      </c>
      <c r="L32" t="s">
        <v>1252</v>
      </c>
      <c r="M32" t="s">
        <v>1156</v>
      </c>
      <c r="N32" t="s">
        <v>1157</v>
      </c>
      <c r="O32">
        <v>36</v>
      </c>
      <c r="P32" t="s">
        <v>1181</v>
      </c>
      <c r="Q32" t="s">
        <v>1179</v>
      </c>
      <c r="R32" t="s">
        <v>1180</v>
      </c>
    </row>
    <row r="33" spans="1:18">
      <c r="A33" t="s">
        <v>908</v>
      </c>
      <c r="B33" t="s">
        <v>909</v>
      </c>
      <c r="C33">
        <v>4.3</v>
      </c>
      <c r="D33">
        <v>916</v>
      </c>
      <c r="E33" t="s">
        <v>165</v>
      </c>
      <c r="F33" s="1">
        <v>0.45833333333333331</v>
      </c>
      <c r="G33" t="s">
        <v>1117</v>
      </c>
      <c r="H33" t="s">
        <v>910</v>
      </c>
      <c r="I33">
        <v>10.785833800000001</v>
      </c>
      <c r="J33">
        <v>106.6942744</v>
      </c>
      <c r="K33" t="s">
        <v>1123</v>
      </c>
      <c r="L33" t="s">
        <v>1253</v>
      </c>
      <c r="M33" t="s">
        <v>1157</v>
      </c>
      <c r="N33" t="s">
        <v>1158</v>
      </c>
      <c r="O33">
        <v>37</v>
      </c>
      <c r="P33" t="s">
        <v>1181</v>
      </c>
      <c r="Q33" t="s">
        <v>1179</v>
      </c>
      <c r="R33" t="s">
        <v>1180</v>
      </c>
    </row>
    <row r="34" spans="1:18">
      <c r="A34" t="s">
        <v>71</v>
      </c>
      <c r="B34" t="s">
        <v>72</v>
      </c>
      <c r="C34">
        <v>4.7</v>
      </c>
      <c r="D34">
        <v>910</v>
      </c>
      <c r="E34" t="s">
        <v>34</v>
      </c>
      <c r="F34" s="1">
        <v>0.33333333333333331</v>
      </c>
      <c r="G34" t="s">
        <v>1020</v>
      </c>
      <c r="H34" t="s">
        <v>73</v>
      </c>
      <c r="I34">
        <v>10.778430999999999</v>
      </c>
      <c r="J34">
        <v>106.699046</v>
      </c>
      <c r="K34" t="s">
        <v>1123</v>
      </c>
      <c r="L34" t="s">
        <v>1248</v>
      </c>
      <c r="M34" t="s">
        <v>1156</v>
      </c>
      <c r="N34" t="s">
        <v>1155</v>
      </c>
      <c r="O34">
        <v>38</v>
      </c>
      <c r="P34" t="s">
        <v>1178</v>
      </c>
      <c r="Q34" t="s">
        <v>1179</v>
      </c>
      <c r="R34" t="s">
        <v>1180</v>
      </c>
    </row>
    <row r="35" spans="1:18">
      <c r="A35" t="s">
        <v>1397</v>
      </c>
      <c r="B35" t="s">
        <v>1398</v>
      </c>
      <c r="C35">
        <v>4.8</v>
      </c>
      <c r="D35">
        <v>882</v>
      </c>
      <c r="E35" t="s">
        <v>1386</v>
      </c>
      <c r="F35" s="1">
        <v>0.75</v>
      </c>
      <c r="G35" t="s">
        <v>1399</v>
      </c>
      <c r="H35" t="s">
        <v>1400</v>
      </c>
      <c r="I35">
        <v>10.775725899999999</v>
      </c>
      <c r="J35">
        <v>106.70378100000001</v>
      </c>
      <c r="K35" t="s">
        <v>1123</v>
      </c>
      <c r="L35" t="s">
        <v>1252</v>
      </c>
      <c r="M35" t="s">
        <v>1157</v>
      </c>
      <c r="N35" t="s">
        <v>1159</v>
      </c>
      <c r="O35">
        <v>39</v>
      </c>
      <c r="P35" t="s">
        <v>1181</v>
      </c>
      <c r="Q35" t="s">
        <v>1179</v>
      </c>
      <c r="R35" t="s">
        <v>1180</v>
      </c>
    </row>
    <row r="36" spans="1:18">
      <c r="A36" t="s">
        <v>356</v>
      </c>
      <c r="B36" t="s">
        <v>357</v>
      </c>
      <c r="C36">
        <v>4.9000000000000004</v>
      </c>
      <c r="D36">
        <v>834</v>
      </c>
      <c r="E36" t="s">
        <v>22</v>
      </c>
      <c r="F36" s="1">
        <v>0.33333333333333331</v>
      </c>
      <c r="G36" t="s">
        <v>1054</v>
      </c>
      <c r="H36" t="s">
        <v>358</v>
      </c>
      <c r="I36">
        <v>10.770252899999999</v>
      </c>
      <c r="J36">
        <v>106.70203480000001</v>
      </c>
      <c r="K36" t="s">
        <v>1123</v>
      </c>
      <c r="L36" t="s">
        <v>1251</v>
      </c>
      <c r="M36" t="s">
        <v>1138</v>
      </c>
      <c r="N36" t="s">
        <v>1155</v>
      </c>
      <c r="O36">
        <v>40</v>
      </c>
      <c r="P36" t="s">
        <v>1189</v>
      </c>
      <c r="Q36" t="s">
        <v>1179</v>
      </c>
      <c r="R36" t="s">
        <v>1135</v>
      </c>
    </row>
    <row r="37" spans="1:18">
      <c r="A37" t="s">
        <v>325</v>
      </c>
      <c r="B37" t="s">
        <v>326</v>
      </c>
      <c r="C37">
        <v>4.8</v>
      </c>
      <c r="D37">
        <v>809</v>
      </c>
      <c r="E37" t="s">
        <v>22</v>
      </c>
      <c r="F37" s="1">
        <v>0.41666666666666669</v>
      </c>
      <c r="G37" t="s">
        <v>1049</v>
      </c>
      <c r="H37" t="s">
        <v>329</v>
      </c>
      <c r="I37">
        <v>10.784485800000001</v>
      </c>
      <c r="J37">
        <v>106.6975065</v>
      </c>
      <c r="K37" t="s">
        <v>1123</v>
      </c>
      <c r="L37" t="s">
        <v>1253</v>
      </c>
      <c r="M37" t="s">
        <v>1138</v>
      </c>
      <c r="N37" t="s">
        <v>1155</v>
      </c>
      <c r="O37">
        <v>41</v>
      </c>
      <c r="P37" t="s">
        <v>1191</v>
      </c>
      <c r="Q37" t="s">
        <v>1198</v>
      </c>
      <c r="R37" t="s">
        <v>1135</v>
      </c>
    </row>
    <row r="38" spans="1:18">
      <c r="A38" t="s">
        <v>1401</v>
      </c>
      <c r="B38" t="s">
        <v>1402</v>
      </c>
      <c r="C38">
        <v>4.9000000000000004</v>
      </c>
      <c r="D38">
        <v>755</v>
      </c>
      <c r="E38" t="s">
        <v>22</v>
      </c>
      <c r="F38" s="1"/>
      <c r="G38" t="s">
        <v>1403</v>
      </c>
      <c r="H38" t="s">
        <v>1404</v>
      </c>
      <c r="I38">
        <v>10.7785192</v>
      </c>
      <c r="J38">
        <v>106.6981803</v>
      </c>
      <c r="K38" t="s">
        <v>1123</v>
      </c>
      <c r="L38" t="s">
        <v>1252</v>
      </c>
      <c r="M38" t="s">
        <v>1138</v>
      </c>
      <c r="N38" t="s">
        <v>1157</v>
      </c>
      <c r="O38">
        <v>43</v>
      </c>
      <c r="P38" t="s">
        <v>1187</v>
      </c>
      <c r="Q38" t="s">
        <v>1198</v>
      </c>
      <c r="R38" t="s">
        <v>1180</v>
      </c>
    </row>
    <row r="39" spans="1:18">
      <c r="A39" t="s">
        <v>19</v>
      </c>
      <c r="B39" t="s">
        <v>20</v>
      </c>
      <c r="C39">
        <v>4.9000000000000004</v>
      </c>
      <c r="D39">
        <v>664</v>
      </c>
      <c r="E39" t="s">
        <v>22</v>
      </c>
      <c r="F39" s="1">
        <v>0.375</v>
      </c>
      <c r="G39" t="s">
        <v>1014</v>
      </c>
      <c r="H39" t="s">
        <v>24</v>
      </c>
      <c r="I39">
        <v>10.7810504</v>
      </c>
      <c r="J39">
        <v>106.7061501</v>
      </c>
      <c r="K39" t="s">
        <v>1123</v>
      </c>
      <c r="L39" t="s">
        <v>1252</v>
      </c>
      <c r="M39" t="s">
        <v>1138</v>
      </c>
      <c r="N39" t="s">
        <v>1155</v>
      </c>
      <c r="O39">
        <v>44</v>
      </c>
      <c r="P39" t="s">
        <v>1181</v>
      </c>
      <c r="Q39" t="s">
        <v>1179</v>
      </c>
      <c r="R39" t="s">
        <v>1180</v>
      </c>
    </row>
    <row r="40" spans="1:18">
      <c r="A40" t="s">
        <v>903</v>
      </c>
      <c r="B40" t="s">
        <v>904</v>
      </c>
      <c r="C40">
        <v>4.3</v>
      </c>
      <c r="D40">
        <v>642</v>
      </c>
      <c r="E40" t="s">
        <v>22</v>
      </c>
      <c r="F40" s="1">
        <v>0.4375</v>
      </c>
      <c r="G40" t="s">
        <v>1116</v>
      </c>
      <c r="H40" t="s">
        <v>905</v>
      </c>
      <c r="I40">
        <v>10.787120399999999</v>
      </c>
      <c r="J40">
        <v>106.69605319999999</v>
      </c>
      <c r="K40" t="s">
        <v>1123</v>
      </c>
      <c r="L40" t="s">
        <v>1253</v>
      </c>
      <c r="M40" t="s">
        <v>1138</v>
      </c>
      <c r="N40" t="s">
        <v>1155</v>
      </c>
      <c r="O40">
        <v>45</v>
      </c>
      <c r="P40" t="s">
        <v>1185</v>
      </c>
      <c r="Q40" t="s">
        <v>1179</v>
      </c>
      <c r="R40" t="s">
        <v>1180</v>
      </c>
    </row>
    <row r="41" spans="1:18">
      <c r="A41" t="s">
        <v>741</v>
      </c>
      <c r="B41" t="s">
        <v>742</v>
      </c>
      <c r="C41">
        <v>4.8</v>
      </c>
      <c r="D41">
        <v>641</v>
      </c>
      <c r="E41" t="s">
        <v>22</v>
      </c>
      <c r="F41" s="1">
        <v>0.45833333333333331</v>
      </c>
      <c r="G41" t="s">
        <v>1099</v>
      </c>
      <c r="H41" t="s">
        <v>745</v>
      </c>
      <c r="I41">
        <v>10.7649171</v>
      </c>
      <c r="J41">
        <v>106.6947502</v>
      </c>
      <c r="K41" t="s">
        <v>1123</v>
      </c>
      <c r="L41" t="s">
        <v>1254</v>
      </c>
      <c r="M41" t="s">
        <v>1138</v>
      </c>
      <c r="N41" t="s">
        <v>1158</v>
      </c>
      <c r="O41">
        <v>46</v>
      </c>
      <c r="P41" t="s">
        <v>1178</v>
      </c>
      <c r="Q41" t="s">
        <v>1179</v>
      </c>
      <c r="R41" t="s">
        <v>1180</v>
      </c>
    </row>
    <row r="42" spans="1:18">
      <c r="A42" t="s">
        <v>113</v>
      </c>
      <c r="B42" t="s">
        <v>114</v>
      </c>
      <c r="C42">
        <v>4.8</v>
      </c>
      <c r="D42">
        <v>634</v>
      </c>
      <c r="E42" t="s">
        <v>34</v>
      </c>
      <c r="F42" s="1">
        <v>0.375</v>
      </c>
      <c r="G42" t="s">
        <v>1026</v>
      </c>
      <c r="H42" t="s">
        <v>115</v>
      </c>
      <c r="I42">
        <v>10.7890301</v>
      </c>
      <c r="J42">
        <v>106.6908913</v>
      </c>
      <c r="K42" t="s">
        <v>1123</v>
      </c>
      <c r="L42" t="s">
        <v>1250</v>
      </c>
      <c r="M42" t="s">
        <v>1156</v>
      </c>
      <c r="N42" t="s">
        <v>1155</v>
      </c>
      <c r="O42">
        <v>47</v>
      </c>
      <c r="P42" t="s">
        <v>1178</v>
      </c>
      <c r="Q42" t="s">
        <v>1179</v>
      </c>
      <c r="R42" t="s">
        <v>1180</v>
      </c>
    </row>
    <row r="43" spans="1:18">
      <c r="A43" t="s">
        <v>133</v>
      </c>
      <c r="B43" t="s">
        <v>134</v>
      </c>
      <c r="C43">
        <v>4.8</v>
      </c>
      <c r="D43">
        <v>626</v>
      </c>
      <c r="E43" t="s">
        <v>34</v>
      </c>
      <c r="F43" s="1">
        <v>0.45833333333333331</v>
      </c>
      <c r="G43" t="s">
        <v>1029</v>
      </c>
      <c r="H43" t="s">
        <v>139</v>
      </c>
      <c r="I43">
        <v>10.7863279</v>
      </c>
      <c r="J43">
        <v>106.6946945</v>
      </c>
      <c r="K43" t="s">
        <v>1123</v>
      </c>
      <c r="L43" t="s">
        <v>1253</v>
      </c>
      <c r="M43" t="s">
        <v>1156</v>
      </c>
      <c r="N43" t="s">
        <v>1158</v>
      </c>
      <c r="O43">
        <v>48</v>
      </c>
      <c r="P43" t="s">
        <v>1187</v>
      </c>
      <c r="Q43" t="s">
        <v>1198</v>
      </c>
      <c r="R43" t="s">
        <v>1180</v>
      </c>
    </row>
    <row r="44" spans="1:18">
      <c r="A44" t="s">
        <v>1405</v>
      </c>
      <c r="B44" t="s">
        <v>1406</v>
      </c>
      <c r="C44">
        <v>4.5999999999999996</v>
      </c>
      <c r="D44">
        <v>622</v>
      </c>
      <c r="E44" t="s">
        <v>22</v>
      </c>
      <c r="F44" s="1"/>
      <c r="G44" t="s">
        <v>1407</v>
      </c>
      <c r="H44" t="s">
        <v>1408</v>
      </c>
      <c r="I44">
        <v>10.776731</v>
      </c>
      <c r="J44">
        <v>106.7047843</v>
      </c>
      <c r="K44" t="s">
        <v>1123</v>
      </c>
      <c r="L44" t="s">
        <v>1252</v>
      </c>
      <c r="M44" t="s">
        <v>1138</v>
      </c>
      <c r="N44" t="s">
        <v>1157</v>
      </c>
      <c r="O44">
        <v>49</v>
      </c>
      <c r="P44" t="s">
        <v>1187</v>
      </c>
      <c r="Q44" t="s">
        <v>1198</v>
      </c>
      <c r="R44" t="s">
        <v>1180</v>
      </c>
    </row>
    <row r="45" spans="1:18">
      <c r="A45" t="s">
        <v>32</v>
      </c>
      <c r="B45" t="s">
        <v>33</v>
      </c>
      <c r="C45">
        <v>4.9000000000000004</v>
      </c>
      <c r="D45">
        <v>621</v>
      </c>
      <c r="E45" t="s">
        <v>34</v>
      </c>
      <c r="F45" s="1">
        <v>0.4375</v>
      </c>
      <c r="G45" t="s">
        <v>1015</v>
      </c>
      <c r="H45" t="s">
        <v>42</v>
      </c>
      <c r="I45">
        <v>10.7813151</v>
      </c>
      <c r="J45">
        <v>106.7055893</v>
      </c>
      <c r="K45" t="s">
        <v>1123</v>
      </c>
      <c r="L45" t="s">
        <v>1252</v>
      </c>
      <c r="M45" t="s">
        <v>1156</v>
      </c>
      <c r="N45" t="s">
        <v>1155</v>
      </c>
      <c r="O45">
        <v>50</v>
      </c>
      <c r="P45" t="s">
        <v>1178</v>
      </c>
      <c r="Q45" t="s">
        <v>1179</v>
      </c>
      <c r="R45" t="s">
        <v>1180</v>
      </c>
    </row>
    <row r="46" spans="1:18">
      <c r="A46" t="s">
        <v>1409</v>
      </c>
      <c r="B46" t="s">
        <v>1410</v>
      </c>
      <c r="C46">
        <v>4.7</v>
      </c>
      <c r="D46">
        <v>614</v>
      </c>
      <c r="E46" t="s">
        <v>34</v>
      </c>
      <c r="F46" s="1"/>
      <c r="G46" t="s">
        <v>1411</v>
      </c>
      <c r="H46" t="s">
        <v>1412</v>
      </c>
      <c r="I46">
        <v>10.776560099999999</v>
      </c>
      <c r="J46">
        <v>106.7049095</v>
      </c>
      <c r="K46" t="s">
        <v>1123</v>
      </c>
      <c r="L46" t="s">
        <v>1252</v>
      </c>
      <c r="M46" t="s">
        <v>1156</v>
      </c>
      <c r="N46" t="s">
        <v>1157</v>
      </c>
      <c r="O46">
        <v>51</v>
      </c>
      <c r="P46" t="s">
        <v>1181</v>
      </c>
      <c r="Q46" t="s">
        <v>1179</v>
      </c>
      <c r="R46" t="s">
        <v>1180</v>
      </c>
    </row>
    <row r="47" spans="1:18">
      <c r="A47" t="s">
        <v>188</v>
      </c>
      <c r="B47" t="s">
        <v>189</v>
      </c>
      <c r="C47">
        <v>4.9000000000000004</v>
      </c>
      <c r="D47">
        <v>611</v>
      </c>
      <c r="E47" t="s">
        <v>34</v>
      </c>
      <c r="F47" s="1">
        <v>0.33333333333333331</v>
      </c>
      <c r="G47" t="s">
        <v>1036</v>
      </c>
      <c r="H47" t="s">
        <v>190</v>
      </c>
      <c r="I47">
        <v>10.7721026</v>
      </c>
      <c r="J47">
        <v>106.6941655</v>
      </c>
      <c r="K47" t="s">
        <v>1123</v>
      </c>
      <c r="L47" t="s">
        <v>1249</v>
      </c>
      <c r="M47" t="s">
        <v>1156</v>
      </c>
      <c r="N47" t="s">
        <v>1155</v>
      </c>
      <c r="O47">
        <v>52</v>
      </c>
      <c r="P47" t="s">
        <v>1181</v>
      </c>
      <c r="Q47" t="s">
        <v>1179</v>
      </c>
      <c r="R47" t="s">
        <v>1180</v>
      </c>
    </row>
    <row r="48" spans="1:18">
      <c r="A48" t="s">
        <v>1413</v>
      </c>
      <c r="B48" t="s">
        <v>1414</v>
      </c>
      <c r="C48">
        <v>4.8</v>
      </c>
      <c r="D48">
        <v>549</v>
      </c>
      <c r="E48" t="s">
        <v>34</v>
      </c>
      <c r="F48" s="1">
        <v>0.70833333333333337</v>
      </c>
      <c r="G48" t="s">
        <v>1415</v>
      </c>
      <c r="H48" t="s">
        <v>1416</v>
      </c>
      <c r="I48">
        <v>10.777253099999999</v>
      </c>
      <c r="J48">
        <v>106.7002681</v>
      </c>
      <c r="K48" t="s">
        <v>1123</v>
      </c>
      <c r="L48" t="s">
        <v>1252</v>
      </c>
      <c r="M48" t="s">
        <v>1156</v>
      </c>
      <c r="N48" t="s">
        <v>1160</v>
      </c>
      <c r="O48">
        <v>53</v>
      </c>
      <c r="P48" t="s">
        <v>1181</v>
      </c>
      <c r="Q48" t="s">
        <v>1179</v>
      </c>
      <c r="R48" t="s">
        <v>1180</v>
      </c>
    </row>
    <row r="49" spans="1:18">
      <c r="A49" t="s">
        <v>157</v>
      </c>
      <c r="B49" t="s">
        <v>158</v>
      </c>
      <c r="C49">
        <v>4.7</v>
      </c>
      <c r="D49">
        <v>507</v>
      </c>
      <c r="E49" t="s">
        <v>22</v>
      </c>
      <c r="F49" s="1">
        <v>0.4375</v>
      </c>
      <c r="G49" t="s">
        <v>1032</v>
      </c>
      <c r="H49" t="s">
        <v>162</v>
      </c>
      <c r="I49">
        <v>10.7753458</v>
      </c>
      <c r="J49">
        <v>106.70291810000001</v>
      </c>
      <c r="K49" t="s">
        <v>1123</v>
      </c>
      <c r="L49" t="s">
        <v>1252</v>
      </c>
      <c r="M49" t="s">
        <v>1138</v>
      </c>
      <c r="N49" t="s">
        <v>1155</v>
      </c>
      <c r="O49">
        <v>55</v>
      </c>
      <c r="P49" t="s">
        <v>1181</v>
      </c>
      <c r="Q49" t="s">
        <v>1179</v>
      </c>
      <c r="R49" t="s">
        <v>1180</v>
      </c>
    </row>
    <row r="50" spans="1:18">
      <c r="A50" t="s">
        <v>1417</v>
      </c>
      <c r="B50" t="s">
        <v>1418</v>
      </c>
      <c r="C50">
        <v>4.7</v>
      </c>
      <c r="D50">
        <v>507</v>
      </c>
      <c r="E50" t="s">
        <v>34</v>
      </c>
      <c r="F50" s="1"/>
      <c r="G50" t="s">
        <v>1419</v>
      </c>
      <c r="H50" t="s">
        <v>1420</v>
      </c>
      <c r="I50">
        <v>10.779879899999999</v>
      </c>
      <c r="J50">
        <v>106.70295160000001</v>
      </c>
      <c r="K50" t="s">
        <v>1123</v>
      </c>
      <c r="L50" t="s">
        <v>1252</v>
      </c>
      <c r="M50" t="s">
        <v>1156</v>
      </c>
      <c r="N50" t="s">
        <v>1157</v>
      </c>
      <c r="O50">
        <v>54</v>
      </c>
      <c r="P50" t="s">
        <v>1191</v>
      </c>
      <c r="Q50" t="s">
        <v>1179</v>
      </c>
      <c r="R50" t="s">
        <v>1135</v>
      </c>
    </row>
    <row r="51" spans="1:18">
      <c r="A51" t="s">
        <v>387</v>
      </c>
      <c r="B51" t="s">
        <v>388</v>
      </c>
      <c r="C51">
        <v>4.3</v>
      </c>
      <c r="D51">
        <v>500</v>
      </c>
      <c r="E51" t="s">
        <v>22</v>
      </c>
      <c r="F51" s="1">
        <v>0.375</v>
      </c>
      <c r="G51" t="s">
        <v>1059</v>
      </c>
      <c r="H51" t="s">
        <v>389</v>
      </c>
      <c r="I51">
        <v>10.778468</v>
      </c>
      <c r="J51">
        <v>106.69877200000001</v>
      </c>
      <c r="K51" t="s">
        <v>1123</v>
      </c>
      <c r="L51" t="s">
        <v>1252</v>
      </c>
      <c r="M51" t="s">
        <v>1138</v>
      </c>
      <c r="N51" t="s">
        <v>1155</v>
      </c>
      <c r="O51">
        <v>56</v>
      </c>
      <c r="P51" t="s">
        <v>1178</v>
      </c>
      <c r="Q51" t="s">
        <v>1198</v>
      </c>
      <c r="R51" t="s">
        <v>1180</v>
      </c>
    </row>
    <row r="52" spans="1:18">
      <c r="A52" t="s">
        <v>260</v>
      </c>
      <c r="B52" t="s">
        <v>261</v>
      </c>
      <c r="C52">
        <v>4.3</v>
      </c>
      <c r="D52">
        <v>488</v>
      </c>
      <c r="E52" t="s">
        <v>126</v>
      </c>
      <c r="F52" s="1"/>
      <c r="G52" t="s">
        <v>1045</v>
      </c>
      <c r="H52" t="s">
        <v>266</v>
      </c>
      <c r="I52">
        <v>10.788380399999999</v>
      </c>
      <c r="J52">
        <v>106.6974632</v>
      </c>
      <c r="K52" t="s">
        <v>1123</v>
      </c>
      <c r="L52" t="s">
        <v>1253</v>
      </c>
      <c r="M52" t="s">
        <v>1142</v>
      </c>
      <c r="N52" t="s">
        <v>1157</v>
      </c>
      <c r="O52">
        <v>57</v>
      </c>
      <c r="P52" t="s">
        <v>1178</v>
      </c>
      <c r="Q52" t="s">
        <v>1198</v>
      </c>
      <c r="R52" t="s">
        <v>1180</v>
      </c>
    </row>
    <row r="53" spans="1:18">
      <c r="A53" t="s">
        <v>731</v>
      </c>
      <c r="B53" t="s">
        <v>732</v>
      </c>
      <c r="C53">
        <v>4.4000000000000004</v>
      </c>
      <c r="D53">
        <v>453</v>
      </c>
      <c r="E53" t="s">
        <v>22</v>
      </c>
      <c r="F53" s="1">
        <v>0.66666666666666663</v>
      </c>
      <c r="G53" t="s">
        <v>1098</v>
      </c>
      <c r="H53" t="s">
        <v>735</v>
      </c>
      <c r="I53">
        <v>10.765075599999999</v>
      </c>
      <c r="J53">
        <v>106.69737809999999</v>
      </c>
      <c r="K53" t="s">
        <v>1123</v>
      </c>
      <c r="L53" t="s">
        <v>1255</v>
      </c>
      <c r="M53" t="s">
        <v>1138</v>
      </c>
      <c r="N53" t="s">
        <v>1160</v>
      </c>
      <c r="O53">
        <v>58</v>
      </c>
      <c r="P53" t="s">
        <v>1181</v>
      </c>
      <c r="Q53" t="s">
        <v>1179</v>
      </c>
      <c r="R53" t="s">
        <v>1180</v>
      </c>
    </row>
    <row r="54" spans="1:18">
      <c r="A54" t="s">
        <v>1421</v>
      </c>
      <c r="B54" t="s">
        <v>1422</v>
      </c>
      <c r="C54">
        <v>4.8</v>
      </c>
      <c r="D54">
        <v>398</v>
      </c>
      <c r="E54" t="s">
        <v>34</v>
      </c>
      <c r="F54" s="1">
        <v>0.70833333333333337</v>
      </c>
      <c r="G54" t="s">
        <v>1423</v>
      </c>
      <c r="H54" t="s">
        <v>1424</v>
      </c>
      <c r="I54">
        <v>10.7757948</v>
      </c>
      <c r="J54">
        <v>106.7049791</v>
      </c>
      <c r="K54" t="s">
        <v>1123</v>
      </c>
      <c r="L54" t="s">
        <v>1252</v>
      </c>
      <c r="M54" t="s">
        <v>1156</v>
      </c>
      <c r="N54" t="s">
        <v>1160</v>
      </c>
      <c r="O54">
        <v>59</v>
      </c>
      <c r="P54" t="s">
        <v>1181</v>
      </c>
      <c r="Q54" t="s">
        <v>1179</v>
      </c>
      <c r="R54" t="s">
        <v>1180</v>
      </c>
    </row>
    <row r="55" spans="1:18">
      <c r="A55" t="s">
        <v>1425</v>
      </c>
      <c r="B55" t="s">
        <v>1426</v>
      </c>
      <c r="C55">
        <v>4.5999999999999996</v>
      </c>
      <c r="D55">
        <v>394</v>
      </c>
      <c r="E55" t="s">
        <v>34</v>
      </c>
      <c r="F55" s="1">
        <v>0.72916666666666663</v>
      </c>
      <c r="G55" t="s">
        <v>1427</v>
      </c>
      <c r="H55" t="s">
        <v>1428</v>
      </c>
      <c r="I55">
        <v>10.777335799999999</v>
      </c>
      <c r="J55">
        <v>106.6999711</v>
      </c>
      <c r="K55" t="s">
        <v>1123</v>
      </c>
      <c r="L55" t="s">
        <v>1252</v>
      </c>
      <c r="M55" t="s">
        <v>1156</v>
      </c>
      <c r="N55" t="s">
        <v>1160</v>
      </c>
      <c r="O55">
        <v>60</v>
      </c>
      <c r="P55" t="s">
        <v>1187</v>
      </c>
      <c r="Q55" t="s">
        <v>1198</v>
      </c>
      <c r="R55" t="s">
        <v>1180</v>
      </c>
    </row>
    <row r="56" spans="1:18">
      <c r="A56" t="s">
        <v>43</v>
      </c>
      <c r="B56" t="s">
        <v>44</v>
      </c>
      <c r="C56">
        <v>4.8</v>
      </c>
      <c r="D56">
        <v>393</v>
      </c>
      <c r="E56" t="s">
        <v>22</v>
      </c>
      <c r="F56" s="1">
        <v>0.4375</v>
      </c>
      <c r="G56" t="s">
        <v>1016</v>
      </c>
      <c r="H56" t="s">
        <v>45</v>
      </c>
      <c r="I56">
        <v>10.785137499999999</v>
      </c>
      <c r="J56">
        <v>106.6999919</v>
      </c>
      <c r="K56" t="s">
        <v>1123</v>
      </c>
      <c r="L56" t="s">
        <v>1253</v>
      </c>
      <c r="M56" t="s">
        <v>1138</v>
      </c>
      <c r="N56" t="s">
        <v>1155</v>
      </c>
      <c r="O56">
        <v>61</v>
      </c>
      <c r="P56" t="s">
        <v>1181</v>
      </c>
      <c r="Q56" t="s">
        <v>1198</v>
      </c>
      <c r="R56" t="s">
        <v>1180</v>
      </c>
    </row>
    <row r="57" spans="1:18">
      <c r="A57" t="s">
        <v>1429</v>
      </c>
      <c r="B57" t="s">
        <v>1430</v>
      </c>
      <c r="C57">
        <v>4.8</v>
      </c>
      <c r="D57">
        <v>375</v>
      </c>
      <c r="E57" t="s">
        <v>1386</v>
      </c>
      <c r="F57" s="1">
        <v>0.70833333333333337</v>
      </c>
      <c r="G57" t="s">
        <v>1431</v>
      </c>
      <c r="H57" t="s">
        <v>1432</v>
      </c>
      <c r="I57">
        <v>10.779872900000001</v>
      </c>
      <c r="J57">
        <v>106.70419769999999</v>
      </c>
      <c r="K57" t="s">
        <v>1123</v>
      </c>
      <c r="L57" t="s">
        <v>1252</v>
      </c>
      <c r="M57" t="s">
        <v>1157</v>
      </c>
      <c r="N57" t="s">
        <v>1160</v>
      </c>
      <c r="O57">
        <v>62</v>
      </c>
      <c r="P57" t="s">
        <v>1181</v>
      </c>
      <c r="Q57" t="s">
        <v>1179</v>
      </c>
      <c r="R57" t="s">
        <v>1180</v>
      </c>
    </row>
    <row r="58" spans="1:18">
      <c r="A58" t="s">
        <v>1433</v>
      </c>
      <c r="B58" t="s">
        <v>1434</v>
      </c>
      <c r="C58">
        <v>4.7</v>
      </c>
      <c r="D58">
        <v>358</v>
      </c>
      <c r="E58" t="s">
        <v>34</v>
      </c>
      <c r="F58" s="1"/>
      <c r="G58" t="s">
        <v>1435</v>
      </c>
      <c r="H58" t="s">
        <v>1436</v>
      </c>
      <c r="I58">
        <v>10.778821000000001</v>
      </c>
      <c r="J58">
        <v>106.704387</v>
      </c>
      <c r="K58" t="s">
        <v>1123</v>
      </c>
      <c r="L58" t="s">
        <v>1252</v>
      </c>
      <c r="M58" t="s">
        <v>1156</v>
      </c>
      <c r="N58" t="s">
        <v>1157</v>
      </c>
      <c r="O58">
        <v>63</v>
      </c>
      <c r="P58" t="s">
        <v>1181</v>
      </c>
      <c r="Q58" t="s">
        <v>1179</v>
      </c>
      <c r="R58" t="s">
        <v>1180</v>
      </c>
    </row>
    <row r="59" spans="1:18">
      <c r="A59" t="s">
        <v>124</v>
      </c>
      <c r="B59" t="s">
        <v>125</v>
      </c>
      <c r="C59">
        <v>4.5999999999999996</v>
      </c>
      <c r="D59">
        <v>356</v>
      </c>
      <c r="E59" t="s">
        <v>126</v>
      </c>
      <c r="F59" s="1">
        <v>0.35416666666666669</v>
      </c>
      <c r="G59" t="s">
        <v>1028</v>
      </c>
      <c r="H59" t="s">
        <v>132</v>
      </c>
      <c r="I59">
        <v>10.7842945</v>
      </c>
      <c r="J59">
        <v>106.7057539</v>
      </c>
      <c r="K59" t="s">
        <v>1123</v>
      </c>
      <c r="L59" t="s">
        <v>1252</v>
      </c>
      <c r="M59" t="s">
        <v>1142</v>
      </c>
      <c r="N59" t="s">
        <v>1155</v>
      </c>
      <c r="O59">
        <v>64</v>
      </c>
      <c r="P59" t="s">
        <v>1191</v>
      </c>
      <c r="Q59" t="s">
        <v>1179</v>
      </c>
      <c r="R59" t="s">
        <v>1135</v>
      </c>
    </row>
    <row r="60" spans="1:18">
      <c r="A60" t="s">
        <v>1437</v>
      </c>
      <c r="B60" t="s">
        <v>1438</v>
      </c>
      <c r="C60">
        <v>4.3</v>
      </c>
      <c r="D60">
        <v>350</v>
      </c>
      <c r="E60" t="s">
        <v>34</v>
      </c>
      <c r="F60" s="1">
        <v>0.72916666666666663</v>
      </c>
      <c r="G60" t="s">
        <v>1439</v>
      </c>
      <c r="H60" t="s">
        <v>1440</v>
      </c>
      <c r="I60">
        <v>10.779974599999999</v>
      </c>
      <c r="J60">
        <v>106.7034214</v>
      </c>
      <c r="K60" t="s">
        <v>1123</v>
      </c>
      <c r="L60" t="s">
        <v>1252</v>
      </c>
      <c r="M60" t="s">
        <v>1156</v>
      </c>
      <c r="N60" t="s">
        <v>1160</v>
      </c>
      <c r="O60">
        <v>65</v>
      </c>
      <c r="P60" t="s">
        <v>1181</v>
      </c>
      <c r="Q60" t="s">
        <v>1179</v>
      </c>
      <c r="R60" t="s">
        <v>1180</v>
      </c>
    </row>
    <row r="61" spans="1:18">
      <c r="A61" t="s">
        <v>1444</v>
      </c>
      <c r="B61" t="s">
        <v>1445</v>
      </c>
      <c r="C61">
        <v>4.7</v>
      </c>
      <c r="D61">
        <v>315</v>
      </c>
      <c r="E61" t="s">
        <v>34</v>
      </c>
      <c r="F61" s="1"/>
      <c r="G61" t="s">
        <v>1446</v>
      </c>
      <c r="H61" t="s">
        <v>1447</v>
      </c>
      <c r="I61">
        <v>10.77901</v>
      </c>
      <c r="J61">
        <v>106.704562</v>
      </c>
      <c r="K61" t="s">
        <v>1123</v>
      </c>
      <c r="L61" t="s">
        <v>1252</v>
      </c>
      <c r="M61" t="s">
        <v>1156</v>
      </c>
      <c r="N61" t="s">
        <v>1157</v>
      </c>
      <c r="O61">
        <v>68</v>
      </c>
      <c r="P61" t="s">
        <v>1181</v>
      </c>
      <c r="Q61" t="s">
        <v>1198</v>
      </c>
      <c r="R61" t="s">
        <v>1180</v>
      </c>
    </row>
    <row r="62" spans="1:18">
      <c r="A62" t="s">
        <v>1448</v>
      </c>
      <c r="B62" t="s">
        <v>1449</v>
      </c>
      <c r="C62">
        <v>4.9000000000000004</v>
      </c>
      <c r="D62">
        <v>295</v>
      </c>
      <c r="E62" t="s">
        <v>34</v>
      </c>
      <c r="F62" s="1"/>
      <c r="G62" t="s">
        <v>1450</v>
      </c>
      <c r="H62" t="s">
        <v>1451</v>
      </c>
      <c r="I62">
        <v>10.7787636</v>
      </c>
      <c r="J62">
        <v>106.7027829</v>
      </c>
      <c r="K62" t="s">
        <v>1123</v>
      </c>
      <c r="L62" t="s">
        <v>1252</v>
      </c>
      <c r="M62" t="s">
        <v>1156</v>
      </c>
      <c r="N62" t="s">
        <v>1157</v>
      </c>
      <c r="O62">
        <v>71</v>
      </c>
      <c r="P62" t="s">
        <v>1181</v>
      </c>
      <c r="Q62" t="s">
        <v>1179</v>
      </c>
      <c r="R62" t="s">
        <v>1180</v>
      </c>
    </row>
    <row r="63" spans="1:18">
      <c r="A63" t="s">
        <v>1452</v>
      </c>
      <c r="B63" t="s">
        <v>1453</v>
      </c>
      <c r="C63">
        <v>4.9000000000000004</v>
      </c>
      <c r="D63">
        <v>271</v>
      </c>
      <c r="E63" t="s">
        <v>34</v>
      </c>
      <c r="F63" s="1"/>
      <c r="G63" t="s">
        <v>1454</v>
      </c>
      <c r="H63" t="s">
        <v>1455</v>
      </c>
      <c r="I63">
        <v>10.7782614</v>
      </c>
      <c r="J63">
        <v>106.6984487</v>
      </c>
      <c r="K63" t="s">
        <v>1123</v>
      </c>
      <c r="L63" t="s">
        <v>1252</v>
      </c>
      <c r="M63" t="s">
        <v>1156</v>
      </c>
      <c r="N63" t="s">
        <v>1157</v>
      </c>
      <c r="O63">
        <v>73</v>
      </c>
      <c r="P63" t="s">
        <v>1191</v>
      </c>
      <c r="Q63" t="s">
        <v>1179</v>
      </c>
      <c r="R63" t="s">
        <v>1135</v>
      </c>
    </row>
    <row r="64" spans="1:18">
      <c r="A64" t="s">
        <v>1456</v>
      </c>
      <c r="B64" t="s">
        <v>1457</v>
      </c>
      <c r="C64">
        <v>4.3</v>
      </c>
      <c r="D64">
        <v>265</v>
      </c>
      <c r="E64" t="s">
        <v>34</v>
      </c>
      <c r="F64" s="1">
        <v>0.70833333333333337</v>
      </c>
      <c r="G64" t="s">
        <v>1458</v>
      </c>
      <c r="H64" t="s">
        <v>1459</v>
      </c>
      <c r="I64">
        <v>10.7799751</v>
      </c>
      <c r="J64">
        <v>106.7043106</v>
      </c>
      <c r="K64" t="s">
        <v>1123</v>
      </c>
      <c r="L64" t="s">
        <v>1252</v>
      </c>
      <c r="M64" t="s">
        <v>1156</v>
      </c>
      <c r="N64" t="s">
        <v>1160</v>
      </c>
      <c r="O64">
        <v>74</v>
      </c>
      <c r="P64" t="s">
        <v>1181</v>
      </c>
      <c r="Q64" t="s">
        <v>1179</v>
      </c>
      <c r="R64" t="s">
        <v>1180</v>
      </c>
    </row>
    <row r="65" spans="1:18">
      <c r="A65" t="s">
        <v>279</v>
      </c>
      <c r="B65" t="s">
        <v>280</v>
      </c>
      <c r="C65">
        <v>4.5999999999999996</v>
      </c>
      <c r="D65">
        <v>160</v>
      </c>
      <c r="E65" t="s">
        <v>34</v>
      </c>
      <c r="F65" s="1">
        <v>0.45833333333333331</v>
      </c>
      <c r="G65" t="s">
        <v>1047</v>
      </c>
      <c r="H65" t="s">
        <v>281</v>
      </c>
      <c r="I65">
        <v>10.775088500000001</v>
      </c>
      <c r="J65">
        <v>106.7037454</v>
      </c>
      <c r="K65" t="s">
        <v>1123</v>
      </c>
      <c r="L65" t="s">
        <v>1252</v>
      </c>
      <c r="M65" t="s">
        <v>1156</v>
      </c>
      <c r="N65" t="s">
        <v>1158</v>
      </c>
      <c r="O65">
        <v>75</v>
      </c>
      <c r="P65" t="s">
        <v>1185</v>
      </c>
      <c r="Q65" t="s">
        <v>1198</v>
      </c>
      <c r="R65" t="s">
        <v>1180</v>
      </c>
    </row>
    <row r="66" spans="1:18">
      <c r="A66" t="s">
        <v>883</v>
      </c>
      <c r="B66" t="s">
        <v>884</v>
      </c>
      <c r="C66">
        <v>4.7</v>
      </c>
      <c r="D66">
        <v>133</v>
      </c>
      <c r="E66" t="s">
        <v>22</v>
      </c>
      <c r="F66" s="1">
        <v>0.41666666666666669</v>
      </c>
      <c r="G66" t="s">
        <v>1115</v>
      </c>
      <c r="H66" t="s">
        <v>885</v>
      </c>
      <c r="I66">
        <v>10.7850596</v>
      </c>
      <c r="J66">
        <v>106.700441</v>
      </c>
      <c r="K66" t="s">
        <v>1123</v>
      </c>
      <c r="L66" t="s">
        <v>1253</v>
      </c>
      <c r="M66" t="s">
        <v>1138</v>
      </c>
      <c r="N66" t="s">
        <v>1155</v>
      </c>
      <c r="O66">
        <v>77</v>
      </c>
      <c r="P66" t="s">
        <v>1187</v>
      </c>
      <c r="Q66" t="s">
        <v>1198</v>
      </c>
      <c r="R66" t="s">
        <v>1180</v>
      </c>
    </row>
    <row r="67" spans="1:18">
      <c r="A67" t="s">
        <v>698</v>
      </c>
      <c r="B67" t="s">
        <v>699</v>
      </c>
      <c r="C67">
        <v>4.8</v>
      </c>
      <c r="D67">
        <v>124</v>
      </c>
      <c r="E67" t="s">
        <v>22</v>
      </c>
      <c r="F67" s="1"/>
      <c r="G67" t="s">
        <v>1096</v>
      </c>
      <c r="H67" t="s">
        <v>700</v>
      </c>
      <c r="I67">
        <v>10.768231</v>
      </c>
      <c r="J67">
        <v>106.693986</v>
      </c>
      <c r="K67" t="s">
        <v>1123</v>
      </c>
      <c r="L67" t="s">
        <v>1249</v>
      </c>
      <c r="M67" t="s">
        <v>1138</v>
      </c>
      <c r="N67" t="s">
        <v>1157</v>
      </c>
      <c r="O67">
        <v>79</v>
      </c>
      <c r="P67" t="s">
        <v>1181</v>
      </c>
      <c r="Q67" t="s">
        <v>1179</v>
      </c>
      <c r="R67" t="s">
        <v>1180</v>
      </c>
    </row>
    <row r="68" spans="1:18">
      <c r="A68" t="s">
        <v>267</v>
      </c>
      <c r="B68" t="s">
        <v>268</v>
      </c>
      <c r="C68">
        <v>4.8</v>
      </c>
      <c r="D68">
        <v>95</v>
      </c>
      <c r="E68" t="s">
        <v>126</v>
      </c>
      <c r="F68" s="1">
        <v>0.41666666666666669</v>
      </c>
      <c r="G68" t="s">
        <v>1046</v>
      </c>
      <c r="H68" t="s">
        <v>269</v>
      </c>
      <c r="I68">
        <v>10.783830500000001</v>
      </c>
      <c r="J68">
        <v>106.7053702</v>
      </c>
      <c r="K68" t="s">
        <v>1123</v>
      </c>
      <c r="L68" t="s">
        <v>1252</v>
      </c>
      <c r="M68" t="s">
        <v>1142</v>
      </c>
      <c r="N68" t="s">
        <v>1155</v>
      </c>
      <c r="O68">
        <v>81</v>
      </c>
      <c r="P68" t="s">
        <v>1187</v>
      </c>
      <c r="Q68" t="s">
        <v>1198</v>
      </c>
      <c r="R68" t="s">
        <v>1180</v>
      </c>
    </row>
    <row r="69" spans="1:18">
      <c r="A69" t="s">
        <v>941</v>
      </c>
      <c r="B69" t="s">
        <v>942</v>
      </c>
      <c r="C69">
        <v>4.8</v>
      </c>
      <c r="D69">
        <v>26</v>
      </c>
      <c r="E69" t="s">
        <v>126</v>
      </c>
      <c r="F69" s="1"/>
      <c r="G69" t="s">
        <v>1118</v>
      </c>
      <c r="H69" t="s">
        <v>943</v>
      </c>
      <c r="I69">
        <v>10.7876178</v>
      </c>
      <c r="J69">
        <v>106.702848</v>
      </c>
      <c r="K69" t="s">
        <v>1123</v>
      </c>
      <c r="L69" t="s">
        <v>1252</v>
      </c>
      <c r="M69" t="s">
        <v>1142</v>
      </c>
      <c r="N69" t="s">
        <v>1157</v>
      </c>
      <c r="O69">
        <v>86</v>
      </c>
      <c r="P69" t="s">
        <v>1185</v>
      </c>
      <c r="Q69" t="s">
        <v>1198</v>
      </c>
      <c r="R69" t="s">
        <v>1180</v>
      </c>
    </row>
    <row r="70" spans="1:18">
      <c r="A70" t="s">
        <v>1463</v>
      </c>
      <c r="B70" t="s">
        <v>1464</v>
      </c>
      <c r="C70">
        <v>4.9000000000000004</v>
      </c>
      <c r="D70">
        <v>22</v>
      </c>
      <c r="E70" t="s">
        <v>34</v>
      </c>
      <c r="F70" s="1"/>
      <c r="G70" t="s">
        <v>1465</v>
      </c>
      <c r="H70" t="s">
        <v>1466</v>
      </c>
      <c r="I70">
        <v>10.7763495</v>
      </c>
      <c r="J70">
        <v>106.7023643</v>
      </c>
      <c r="K70" t="s">
        <v>1123</v>
      </c>
      <c r="L70" t="s">
        <v>1252</v>
      </c>
      <c r="M70" t="s">
        <v>1156</v>
      </c>
      <c r="N70" t="s">
        <v>1157</v>
      </c>
      <c r="O70">
        <v>87</v>
      </c>
      <c r="P70" t="s">
        <v>1191</v>
      </c>
      <c r="Q70" t="s">
        <v>1179</v>
      </c>
      <c r="R70" t="s">
        <v>1135</v>
      </c>
    </row>
    <row r="71" spans="1:18">
      <c r="A71" t="s">
        <v>946</v>
      </c>
      <c r="B71" t="s">
        <v>947</v>
      </c>
      <c r="C71">
        <v>5</v>
      </c>
      <c r="D71">
        <v>18</v>
      </c>
      <c r="E71" t="s">
        <v>18</v>
      </c>
      <c r="F71" s="1"/>
      <c r="G71" t="s">
        <v>1013</v>
      </c>
      <c r="H71" t="s">
        <v>948</v>
      </c>
      <c r="I71">
        <v>10.7849579</v>
      </c>
      <c r="J71">
        <v>106.6989365</v>
      </c>
      <c r="K71" t="s">
        <v>1123</v>
      </c>
      <c r="L71" t="s">
        <v>1253</v>
      </c>
      <c r="M71" t="s">
        <v>1157</v>
      </c>
      <c r="N71" t="s">
        <v>1157</v>
      </c>
      <c r="O71">
        <v>88</v>
      </c>
      <c r="P71" t="s">
        <v>1181</v>
      </c>
      <c r="Q71" t="s">
        <v>1179</v>
      </c>
      <c r="R71" t="s">
        <v>1180</v>
      </c>
    </row>
    <row r="72" spans="1:18">
      <c r="A72" t="s">
        <v>404</v>
      </c>
      <c r="B72" t="s">
        <v>405</v>
      </c>
      <c r="C72">
        <v>4.0999999999999996</v>
      </c>
      <c r="D72">
        <v>16</v>
      </c>
      <c r="E72" t="s">
        <v>34</v>
      </c>
      <c r="F72" s="1">
        <v>0.33333333333333331</v>
      </c>
      <c r="G72" t="s">
        <v>1060</v>
      </c>
      <c r="H72" t="s">
        <v>406</v>
      </c>
      <c r="I72">
        <v>10.7750811</v>
      </c>
      <c r="J72">
        <v>106.700503</v>
      </c>
      <c r="K72" t="s">
        <v>1123</v>
      </c>
      <c r="L72" t="s">
        <v>1252</v>
      </c>
      <c r="M72" t="s">
        <v>1156</v>
      </c>
      <c r="N72" t="s">
        <v>1155</v>
      </c>
      <c r="O72">
        <v>89</v>
      </c>
      <c r="P72" t="s">
        <v>1178</v>
      </c>
      <c r="Q72" t="s">
        <v>1179</v>
      </c>
      <c r="R72" t="s">
        <v>1180</v>
      </c>
    </row>
    <row r="73" spans="1:18">
      <c r="A73" t="s">
        <v>170</v>
      </c>
      <c r="B73" t="s">
        <v>171</v>
      </c>
      <c r="C73">
        <v>4.9000000000000004</v>
      </c>
      <c r="D73">
        <v>10</v>
      </c>
      <c r="E73" t="s">
        <v>126</v>
      </c>
      <c r="F73" s="1"/>
      <c r="G73" t="s">
        <v>1034</v>
      </c>
      <c r="H73" t="s">
        <v>172</v>
      </c>
      <c r="I73">
        <v>10.786214599999999</v>
      </c>
      <c r="J73">
        <v>106.70115509999999</v>
      </c>
      <c r="K73" t="s">
        <v>1123</v>
      </c>
      <c r="L73" t="s">
        <v>1253</v>
      </c>
      <c r="M73" t="s">
        <v>1142</v>
      </c>
      <c r="N73" t="s">
        <v>1157</v>
      </c>
      <c r="O73">
        <v>92</v>
      </c>
      <c r="P73" t="s">
        <v>1178</v>
      </c>
      <c r="Q73" t="s">
        <v>1179</v>
      </c>
      <c r="R73" t="s">
        <v>1180</v>
      </c>
    </row>
    <row r="74" spans="1:18">
      <c r="A74" t="s">
        <v>1467</v>
      </c>
      <c r="B74" t="s">
        <v>1468</v>
      </c>
      <c r="C74">
        <v>5</v>
      </c>
      <c r="D74">
        <v>2</v>
      </c>
      <c r="E74" t="s">
        <v>34</v>
      </c>
      <c r="F74" s="1"/>
      <c r="G74" t="s">
        <v>1013</v>
      </c>
      <c r="H74" t="s">
        <v>1469</v>
      </c>
      <c r="I74">
        <v>10.7800639</v>
      </c>
      <c r="J74">
        <v>106.6994983</v>
      </c>
      <c r="K74" t="s">
        <v>1123</v>
      </c>
      <c r="L74" t="s">
        <v>1252</v>
      </c>
      <c r="M74" t="s">
        <v>1156</v>
      </c>
      <c r="N74" t="s">
        <v>1157</v>
      </c>
      <c r="O74">
        <v>95</v>
      </c>
      <c r="P74" t="s">
        <v>1181</v>
      </c>
      <c r="Q74" t="s">
        <v>1179</v>
      </c>
      <c r="R74" t="s">
        <v>1180</v>
      </c>
    </row>
    <row r="75" spans="1:18">
      <c r="A75" t="s">
        <v>222</v>
      </c>
      <c r="B75" t="s">
        <v>223</v>
      </c>
      <c r="C75">
        <v>4.3</v>
      </c>
      <c r="D75">
        <v>489</v>
      </c>
      <c r="E75" t="s">
        <v>22</v>
      </c>
      <c r="F75" s="1"/>
      <c r="G75" t="s">
        <v>1042</v>
      </c>
      <c r="H75" t="s">
        <v>227</v>
      </c>
      <c r="I75">
        <v>10.7898785</v>
      </c>
      <c r="J75">
        <v>106.7109045</v>
      </c>
      <c r="K75" t="s">
        <v>1124</v>
      </c>
      <c r="L75" t="s">
        <v>1257</v>
      </c>
      <c r="M75" t="s">
        <v>1138</v>
      </c>
      <c r="N75" t="s">
        <v>1157</v>
      </c>
      <c r="O75">
        <v>2</v>
      </c>
      <c r="P75" t="s">
        <v>1191</v>
      </c>
      <c r="Q75" t="s">
        <v>1179</v>
      </c>
      <c r="R75" t="s">
        <v>1135</v>
      </c>
    </row>
    <row r="76" spans="1:18">
      <c r="A76" t="s">
        <v>92</v>
      </c>
      <c r="B76" t="s">
        <v>93</v>
      </c>
      <c r="C76">
        <v>4.7</v>
      </c>
      <c r="D76">
        <v>344</v>
      </c>
      <c r="E76" t="s">
        <v>22</v>
      </c>
      <c r="F76" s="1">
        <v>0.32291666666666669</v>
      </c>
      <c r="G76" t="s">
        <v>1023</v>
      </c>
      <c r="H76" t="s">
        <v>99</v>
      </c>
      <c r="I76">
        <v>10.7886858</v>
      </c>
      <c r="J76">
        <v>106.7087982</v>
      </c>
      <c r="K76" t="s">
        <v>1124</v>
      </c>
      <c r="L76" t="s">
        <v>1257</v>
      </c>
      <c r="M76" t="s">
        <v>1138</v>
      </c>
      <c r="N76" t="s">
        <v>1155</v>
      </c>
      <c r="O76">
        <v>4</v>
      </c>
      <c r="P76" t="s">
        <v>1191</v>
      </c>
      <c r="Q76" t="s">
        <v>1179</v>
      </c>
      <c r="R76" t="s">
        <v>1135</v>
      </c>
    </row>
    <row r="77" spans="1:18">
      <c r="A77" t="s">
        <v>100</v>
      </c>
      <c r="B77" t="s">
        <v>101</v>
      </c>
      <c r="C77">
        <v>4.8</v>
      </c>
      <c r="D77">
        <v>333</v>
      </c>
      <c r="E77" t="s">
        <v>22</v>
      </c>
      <c r="F77" s="1">
        <v>0.4375</v>
      </c>
      <c r="G77" t="s">
        <v>1024</v>
      </c>
      <c r="H77" t="s">
        <v>103</v>
      </c>
      <c r="I77">
        <v>10.790118</v>
      </c>
      <c r="J77">
        <v>106.7112413</v>
      </c>
      <c r="K77" t="s">
        <v>1124</v>
      </c>
      <c r="L77" t="s">
        <v>1257</v>
      </c>
      <c r="M77" t="s">
        <v>1138</v>
      </c>
      <c r="N77" t="s">
        <v>1155</v>
      </c>
      <c r="O77">
        <v>5</v>
      </c>
      <c r="P77" t="s">
        <v>1178</v>
      </c>
      <c r="Q77" t="s">
        <v>1198</v>
      </c>
      <c r="R77" t="s">
        <v>1180</v>
      </c>
    </row>
    <row r="78" spans="1:18">
      <c r="A78" t="s">
        <v>330</v>
      </c>
      <c r="B78" t="s">
        <v>331</v>
      </c>
      <c r="C78">
        <v>4.5</v>
      </c>
      <c r="D78">
        <v>169</v>
      </c>
      <c r="E78" t="s">
        <v>22</v>
      </c>
      <c r="F78" s="1">
        <v>0.41666666666666669</v>
      </c>
      <c r="G78" t="s">
        <v>1050</v>
      </c>
      <c r="H78" t="s">
        <v>332</v>
      </c>
      <c r="I78">
        <v>10.795483000000001</v>
      </c>
      <c r="J78">
        <v>106.71013790000001</v>
      </c>
      <c r="K78" t="s">
        <v>1124</v>
      </c>
      <c r="L78" t="s">
        <v>1257</v>
      </c>
      <c r="M78" t="s">
        <v>1138</v>
      </c>
      <c r="N78" t="s">
        <v>1155</v>
      </c>
      <c r="O78">
        <v>6</v>
      </c>
      <c r="P78" t="s">
        <v>1191</v>
      </c>
      <c r="Q78" t="s">
        <v>1198</v>
      </c>
      <c r="R78" t="s">
        <v>1135</v>
      </c>
    </row>
    <row r="79" spans="1:18">
      <c r="A79" t="s">
        <v>764</v>
      </c>
      <c r="B79" t="s">
        <v>765</v>
      </c>
      <c r="C79">
        <v>4.5</v>
      </c>
      <c r="D79">
        <v>68</v>
      </c>
      <c r="E79" t="s">
        <v>126</v>
      </c>
      <c r="F79" s="1">
        <v>0.35416666666666669</v>
      </c>
      <c r="G79" t="s">
        <v>1102</v>
      </c>
      <c r="H79" t="s">
        <v>766</v>
      </c>
      <c r="I79">
        <v>10.803569400000001</v>
      </c>
      <c r="J79">
        <v>106.72105120000001</v>
      </c>
      <c r="K79" t="s">
        <v>1124</v>
      </c>
      <c r="L79" t="s">
        <v>1259</v>
      </c>
      <c r="M79" t="s">
        <v>1142</v>
      </c>
      <c r="N79" t="s">
        <v>1155</v>
      </c>
      <c r="O79">
        <v>9</v>
      </c>
      <c r="P79" t="s">
        <v>1187</v>
      </c>
      <c r="Q79" t="s">
        <v>1198</v>
      </c>
      <c r="R79" t="s">
        <v>1180</v>
      </c>
    </row>
    <row r="80" spans="1:18">
      <c r="A80" t="s">
        <v>610</v>
      </c>
      <c r="B80" t="s">
        <v>611</v>
      </c>
      <c r="C80">
        <v>4.5999999999999996</v>
      </c>
      <c r="D80">
        <v>55</v>
      </c>
      <c r="E80" t="s">
        <v>126</v>
      </c>
      <c r="F80" s="1">
        <v>0.41666666666666669</v>
      </c>
      <c r="G80" t="s">
        <v>1085</v>
      </c>
      <c r="H80" t="s">
        <v>612</v>
      </c>
      <c r="I80">
        <v>10.788841100000001</v>
      </c>
      <c r="J80">
        <v>106.7150518</v>
      </c>
      <c r="K80" t="s">
        <v>1124</v>
      </c>
      <c r="L80" t="s">
        <v>1259</v>
      </c>
      <c r="M80" t="s">
        <v>1142</v>
      </c>
      <c r="N80" t="s">
        <v>1155</v>
      </c>
      <c r="O80">
        <v>10</v>
      </c>
      <c r="P80" t="s">
        <v>1178</v>
      </c>
      <c r="Q80" t="s">
        <v>1198</v>
      </c>
      <c r="R80" t="s">
        <v>1180</v>
      </c>
    </row>
    <row r="81" spans="1:18">
      <c r="A81" t="s">
        <v>687</v>
      </c>
      <c r="B81" t="s">
        <v>688</v>
      </c>
      <c r="C81">
        <v>4.0999999999999996</v>
      </c>
      <c r="D81">
        <v>43</v>
      </c>
      <c r="E81" t="s">
        <v>22</v>
      </c>
      <c r="F81" s="1"/>
      <c r="G81" t="s">
        <v>1094</v>
      </c>
      <c r="H81" t="s">
        <v>689</v>
      </c>
      <c r="I81">
        <v>10.791938500000001</v>
      </c>
      <c r="J81">
        <v>106.7195364</v>
      </c>
      <c r="K81" t="s">
        <v>1124</v>
      </c>
      <c r="L81" t="s">
        <v>1259</v>
      </c>
      <c r="M81" t="s">
        <v>1138</v>
      </c>
      <c r="N81" t="s">
        <v>1157</v>
      </c>
      <c r="O81">
        <v>11</v>
      </c>
      <c r="P81" t="s">
        <v>1178</v>
      </c>
      <c r="Q81" t="s">
        <v>1179</v>
      </c>
      <c r="R81" t="s">
        <v>1180</v>
      </c>
    </row>
    <row r="82" spans="1:18">
      <c r="A82" t="s">
        <v>998</v>
      </c>
      <c r="B82" t="s">
        <v>999</v>
      </c>
      <c r="C82">
        <v>4.9000000000000004</v>
      </c>
      <c r="D82">
        <v>20</v>
      </c>
      <c r="E82" t="s">
        <v>22</v>
      </c>
      <c r="F82" s="1"/>
      <c r="G82" t="s">
        <v>1119</v>
      </c>
      <c r="H82" t="s">
        <v>1000</v>
      </c>
      <c r="I82">
        <v>10.789511299999999</v>
      </c>
      <c r="J82">
        <v>106.7081421</v>
      </c>
      <c r="K82" t="s">
        <v>1124</v>
      </c>
      <c r="L82" t="s">
        <v>1257</v>
      </c>
      <c r="M82" t="s">
        <v>1138</v>
      </c>
      <c r="N82" t="s">
        <v>1157</v>
      </c>
      <c r="O82">
        <v>13</v>
      </c>
      <c r="P82" t="s">
        <v>1178</v>
      </c>
      <c r="Q82" t="s">
        <v>1179</v>
      </c>
      <c r="R82" t="s">
        <v>1180</v>
      </c>
    </row>
    <row r="83" spans="1:18">
      <c r="A83" t="s">
        <v>627</v>
      </c>
      <c r="B83" t="s">
        <v>628</v>
      </c>
      <c r="C83">
        <v>5</v>
      </c>
      <c r="D83">
        <v>2</v>
      </c>
      <c r="E83" t="s">
        <v>22</v>
      </c>
      <c r="F83" s="1"/>
      <c r="G83" t="s">
        <v>1080</v>
      </c>
      <c r="H83" t="s">
        <v>629</v>
      </c>
      <c r="I83">
        <v>10.7983324</v>
      </c>
      <c r="J83">
        <v>106.7131962</v>
      </c>
      <c r="K83" t="s">
        <v>1124</v>
      </c>
      <c r="L83" t="s">
        <v>1258</v>
      </c>
      <c r="M83" t="s">
        <v>1138</v>
      </c>
      <c r="N83" t="s">
        <v>1157</v>
      </c>
      <c r="O83">
        <v>18</v>
      </c>
      <c r="P83" t="s">
        <v>1181</v>
      </c>
      <c r="Q83" t="s">
        <v>1179</v>
      </c>
      <c r="R83" t="s">
        <v>1180</v>
      </c>
    </row>
    <row r="84" spans="1:18">
      <c r="A84" t="s">
        <v>163</v>
      </c>
      <c r="B84" t="s">
        <v>164</v>
      </c>
      <c r="C84">
        <v>4.5999999999999996</v>
      </c>
      <c r="D84">
        <v>4975</v>
      </c>
      <c r="E84" t="s">
        <v>34</v>
      </c>
      <c r="F84" s="1">
        <v>0.75</v>
      </c>
      <c r="G84" t="s">
        <v>1033</v>
      </c>
      <c r="H84" t="s">
        <v>169</v>
      </c>
      <c r="I84">
        <v>10.778862800000001</v>
      </c>
      <c r="J84">
        <v>106.6920523</v>
      </c>
      <c r="K84" t="s">
        <v>1125</v>
      </c>
      <c r="L84" t="s">
        <v>1260</v>
      </c>
      <c r="M84" t="s">
        <v>1156</v>
      </c>
      <c r="N84" t="s">
        <v>1159</v>
      </c>
      <c r="O84">
        <v>1</v>
      </c>
      <c r="P84" t="s">
        <v>1178</v>
      </c>
      <c r="Q84" t="s">
        <v>1179</v>
      </c>
      <c r="R84" t="s">
        <v>1180</v>
      </c>
    </row>
    <row r="85" spans="1:18">
      <c r="A85" t="s">
        <v>176</v>
      </c>
      <c r="B85" t="s">
        <v>177</v>
      </c>
      <c r="C85">
        <v>4.7</v>
      </c>
      <c r="D85">
        <v>2193</v>
      </c>
      <c r="E85" t="s">
        <v>34</v>
      </c>
      <c r="F85" s="1">
        <v>0.4375</v>
      </c>
      <c r="G85" t="s">
        <v>1035</v>
      </c>
      <c r="H85" t="s">
        <v>180</v>
      </c>
      <c r="I85">
        <v>10.7781582</v>
      </c>
      <c r="J85">
        <v>106.69065999999999</v>
      </c>
      <c r="K85" t="s">
        <v>1125</v>
      </c>
      <c r="L85" t="s">
        <v>1260</v>
      </c>
      <c r="M85" t="s">
        <v>1156</v>
      </c>
      <c r="N85" t="s">
        <v>1155</v>
      </c>
      <c r="O85">
        <v>3</v>
      </c>
      <c r="P85" t="s">
        <v>1191</v>
      </c>
      <c r="Q85" t="s">
        <v>1198</v>
      </c>
      <c r="R85" t="s">
        <v>1135</v>
      </c>
    </row>
    <row r="86" spans="1:18">
      <c r="A86" t="s">
        <v>446</v>
      </c>
      <c r="B86" t="s">
        <v>447</v>
      </c>
      <c r="C86">
        <v>4.9000000000000004</v>
      </c>
      <c r="D86">
        <v>2008</v>
      </c>
      <c r="E86" t="s">
        <v>22</v>
      </c>
      <c r="F86" s="1">
        <v>0.35416666666666669</v>
      </c>
      <c r="G86" t="s">
        <v>1064</v>
      </c>
      <c r="H86" t="s">
        <v>450</v>
      </c>
      <c r="I86">
        <v>10.7770411</v>
      </c>
      <c r="J86">
        <v>106.68859689999999</v>
      </c>
      <c r="K86" t="s">
        <v>1125</v>
      </c>
      <c r="L86" t="s">
        <v>1260</v>
      </c>
      <c r="M86" t="s">
        <v>1138</v>
      </c>
      <c r="N86" t="s">
        <v>1155</v>
      </c>
      <c r="O86">
        <v>4</v>
      </c>
      <c r="P86" t="s">
        <v>1191</v>
      </c>
      <c r="Q86" t="s">
        <v>1179</v>
      </c>
      <c r="R86" t="s">
        <v>1135</v>
      </c>
    </row>
    <row r="87" spans="1:18">
      <c r="A87" t="s">
        <v>211</v>
      </c>
      <c r="B87" t="s">
        <v>212</v>
      </c>
      <c r="C87">
        <v>4.4000000000000004</v>
      </c>
      <c r="D87">
        <v>1178</v>
      </c>
      <c r="E87" t="s">
        <v>22</v>
      </c>
      <c r="F87" s="1">
        <v>0.3125</v>
      </c>
      <c r="G87" t="s">
        <v>1040</v>
      </c>
      <c r="H87" t="s">
        <v>216</v>
      </c>
      <c r="I87">
        <v>10.7753458</v>
      </c>
      <c r="J87">
        <v>106.6902814</v>
      </c>
      <c r="K87" t="s">
        <v>1125</v>
      </c>
      <c r="L87" t="s">
        <v>1260</v>
      </c>
      <c r="M87" t="s">
        <v>1138</v>
      </c>
      <c r="N87" t="s">
        <v>1155</v>
      </c>
      <c r="O87">
        <v>5</v>
      </c>
      <c r="P87" t="s">
        <v>1181</v>
      </c>
      <c r="Q87" t="s">
        <v>1179</v>
      </c>
      <c r="R87" t="s">
        <v>1180</v>
      </c>
    </row>
    <row r="88" spans="1:18">
      <c r="A88" t="s">
        <v>341</v>
      </c>
      <c r="B88" t="s">
        <v>342</v>
      </c>
      <c r="C88">
        <v>4.4000000000000004</v>
      </c>
      <c r="D88">
        <v>1119</v>
      </c>
      <c r="E88" t="s">
        <v>22</v>
      </c>
      <c r="F88" s="1">
        <v>0.375</v>
      </c>
      <c r="G88" t="s">
        <v>1051</v>
      </c>
      <c r="H88" t="s">
        <v>345</v>
      </c>
      <c r="I88">
        <v>10.7787053</v>
      </c>
      <c r="J88">
        <v>106.6885592</v>
      </c>
      <c r="K88" t="s">
        <v>1125</v>
      </c>
      <c r="L88" t="s">
        <v>1260</v>
      </c>
      <c r="M88" t="s">
        <v>1138</v>
      </c>
      <c r="N88" t="s">
        <v>1155</v>
      </c>
      <c r="O88">
        <v>6</v>
      </c>
      <c r="P88" t="s">
        <v>1178</v>
      </c>
      <c r="Q88" t="s">
        <v>1198</v>
      </c>
      <c r="R88" t="s">
        <v>1180</v>
      </c>
    </row>
    <row r="89" spans="1:18">
      <c r="A89" t="s">
        <v>346</v>
      </c>
      <c r="B89" t="s">
        <v>347</v>
      </c>
      <c r="C89">
        <v>4.5</v>
      </c>
      <c r="D89">
        <v>662</v>
      </c>
      <c r="E89" t="s">
        <v>126</v>
      </c>
      <c r="F89" s="1">
        <v>0.4375</v>
      </c>
      <c r="G89" t="s">
        <v>1052</v>
      </c>
      <c r="H89" t="s">
        <v>350</v>
      </c>
      <c r="I89">
        <v>10.786441399999999</v>
      </c>
      <c r="J89">
        <v>106.6923565</v>
      </c>
      <c r="K89" t="s">
        <v>1125</v>
      </c>
      <c r="L89" t="s">
        <v>1260</v>
      </c>
      <c r="M89" t="s">
        <v>1142</v>
      </c>
      <c r="N89" t="s">
        <v>1155</v>
      </c>
      <c r="O89">
        <v>8</v>
      </c>
      <c r="P89" t="s">
        <v>1187</v>
      </c>
      <c r="Q89" t="s">
        <v>1198</v>
      </c>
      <c r="R89" t="s">
        <v>1180</v>
      </c>
    </row>
    <row r="90" spans="1:18">
      <c r="A90" t="s">
        <v>373</v>
      </c>
      <c r="B90" t="s">
        <v>374</v>
      </c>
      <c r="C90">
        <v>4.4000000000000004</v>
      </c>
      <c r="D90">
        <v>629</v>
      </c>
      <c r="E90" t="s">
        <v>22</v>
      </c>
      <c r="F90" s="1">
        <v>0.66666666666666663</v>
      </c>
      <c r="G90" t="s">
        <v>1057</v>
      </c>
      <c r="H90" t="s">
        <v>378</v>
      </c>
      <c r="I90">
        <v>10.7904546</v>
      </c>
      <c r="J90">
        <v>106.6826408</v>
      </c>
      <c r="K90" t="s">
        <v>1125</v>
      </c>
      <c r="L90" t="s">
        <v>1260</v>
      </c>
      <c r="M90" t="s">
        <v>1138</v>
      </c>
      <c r="N90" t="s">
        <v>1160</v>
      </c>
      <c r="O90">
        <v>9</v>
      </c>
      <c r="P90" t="s">
        <v>1181</v>
      </c>
      <c r="Q90" t="s">
        <v>1179</v>
      </c>
      <c r="R90" t="s">
        <v>1180</v>
      </c>
    </row>
    <row r="91" spans="1:18">
      <c r="A91" t="s">
        <v>140</v>
      </c>
      <c r="B91" t="s">
        <v>141</v>
      </c>
      <c r="C91">
        <v>4.9000000000000004</v>
      </c>
      <c r="D91">
        <v>420</v>
      </c>
      <c r="E91" t="s">
        <v>22</v>
      </c>
      <c r="F91" s="1">
        <v>0.41666666666666669</v>
      </c>
      <c r="G91" t="s">
        <v>1030</v>
      </c>
      <c r="H91" t="s">
        <v>143</v>
      </c>
      <c r="I91">
        <v>10.7797526</v>
      </c>
      <c r="J91">
        <v>106.6855053</v>
      </c>
      <c r="K91" t="s">
        <v>1125</v>
      </c>
      <c r="L91" t="s">
        <v>1260</v>
      </c>
      <c r="M91" t="s">
        <v>1138</v>
      </c>
      <c r="N91" t="s">
        <v>1155</v>
      </c>
      <c r="O91">
        <v>11</v>
      </c>
      <c r="P91" t="s">
        <v>1191</v>
      </c>
      <c r="Q91" t="s">
        <v>1179</v>
      </c>
      <c r="R91" t="s">
        <v>1135</v>
      </c>
    </row>
    <row r="92" spans="1:18">
      <c r="A92" t="s">
        <v>118</v>
      </c>
      <c r="B92" t="s">
        <v>119</v>
      </c>
      <c r="C92">
        <v>4.8</v>
      </c>
      <c r="D92">
        <v>314</v>
      </c>
      <c r="E92" t="s">
        <v>34</v>
      </c>
      <c r="F92" s="1">
        <v>0.41666666666666669</v>
      </c>
      <c r="G92" t="s">
        <v>1027</v>
      </c>
      <c r="H92" t="s">
        <v>120</v>
      </c>
      <c r="I92">
        <v>10.778611400000001</v>
      </c>
      <c r="J92">
        <v>106.6920676</v>
      </c>
      <c r="K92" t="s">
        <v>1125</v>
      </c>
      <c r="L92" t="s">
        <v>1260</v>
      </c>
      <c r="M92" t="s">
        <v>1156</v>
      </c>
      <c r="N92" t="s">
        <v>1155</v>
      </c>
      <c r="O92">
        <v>12</v>
      </c>
      <c r="P92" t="s">
        <v>1191</v>
      </c>
      <c r="Q92" t="s">
        <v>1179</v>
      </c>
      <c r="R92" t="s">
        <v>1135</v>
      </c>
    </row>
    <row r="93" spans="1:18">
      <c r="A93" t="s">
        <v>233</v>
      </c>
      <c r="B93" t="s">
        <v>234</v>
      </c>
      <c r="C93">
        <v>4.9000000000000004</v>
      </c>
      <c r="D93">
        <v>186</v>
      </c>
      <c r="E93" t="s">
        <v>126</v>
      </c>
      <c r="F93" s="1"/>
      <c r="G93" t="s">
        <v>1043</v>
      </c>
      <c r="H93" t="s">
        <v>235</v>
      </c>
      <c r="I93">
        <v>10.790021299999999</v>
      </c>
      <c r="J93">
        <v>106.6794503</v>
      </c>
      <c r="K93" t="s">
        <v>1125</v>
      </c>
      <c r="L93" t="s">
        <v>1261</v>
      </c>
      <c r="M93" t="s">
        <v>1142</v>
      </c>
      <c r="N93" t="s">
        <v>1157</v>
      </c>
      <c r="O93">
        <v>13</v>
      </c>
      <c r="P93" t="s">
        <v>1187</v>
      </c>
      <c r="Q93" t="s">
        <v>1198</v>
      </c>
      <c r="R93" t="s">
        <v>1180</v>
      </c>
    </row>
    <row r="94" spans="1:18">
      <c r="A94" t="s">
        <v>367</v>
      </c>
      <c r="B94" t="s">
        <v>368</v>
      </c>
      <c r="C94">
        <v>4.5</v>
      </c>
      <c r="D94">
        <v>90</v>
      </c>
      <c r="E94" t="s">
        <v>126</v>
      </c>
      <c r="F94" s="1">
        <v>0.41666666666666669</v>
      </c>
      <c r="G94" t="s">
        <v>1056</v>
      </c>
      <c r="H94" t="s">
        <v>369</v>
      </c>
      <c r="I94">
        <v>10.78609</v>
      </c>
      <c r="J94">
        <v>106.671357</v>
      </c>
      <c r="K94" t="s">
        <v>1125</v>
      </c>
      <c r="L94" t="s">
        <v>1634</v>
      </c>
      <c r="M94" t="s">
        <v>1142</v>
      </c>
      <c r="N94" t="s">
        <v>1155</v>
      </c>
      <c r="O94">
        <v>15</v>
      </c>
      <c r="P94" t="s">
        <v>1178</v>
      </c>
      <c r="Q94" t="s">
        <v>1198</v>
      </c>
      <c r="R94" t="s">
        <v>1180</v>
      </c>
    </row>
    <row r="95" spans="1:18">
      <c r="A95" t="s">
        <v>301</v>
      </c>
      <c r="B95" t="s">
        <v>302</v>
      </c>
      <c r="C95">
        <v>4.5</v>
      </c>
      <c r="D95">
        <v>69</v>
      </c>
      <c r="E95" t="s">
        <v>126</v>
      </c>
      <c r="F95" s="1"/>
      <c r="G95" t="s">
        <v>1048</v>
      </c>
      <c r="H95" t="s">
        <v>303</v>
      </c>
      <c r="I95">
        <v>10.7868864</v>
      </c>
      <c r="J95">
        <v>106.6922142</v>
      </c>
      <c r="K95" t="s">
        <v>1125</v>
      </c>
      <c r="L95" t="s">
        <v>1260</v>
      </c>
      <c r="M95" t="s">
        <v>1142</v>
      </c>
      <c r="N95" t="s">
        <v>1157</v>
      </c>
      <c r="O95">
        <v>16</v>
      </c>
      <c r="P95" t="s">
        <v>1191</v>
      </c>
      <c r="Q95" t="s">
        <v>1179</v>
      </c>
      <c r="R95" t="s">
        <v>1135</v>
      </c>
    </row>
    <row r="96" spans="1:18">
      <c r="A96" t="s">
        <v>361</v>
      </c>
      <c r="B96" t="s">
        <v>362</v>
      </c>
      <c r="C96">
        <v>4.9000000000000004</v>
      </c>
      <c r="D96">
        <v>51</v>
      </c>
      <c r="E96" t="s">
        <v>126</v>
      </c>
      <c r="F96" s="1">
        <v>0.41666666666666669</v>
      </c>
      <c r="G96" t="s">
        <v>1055</v>
      </c>
      <c r="H96" t="s">
        <v>363</v>
      </c>
      <c r="I96">
        <v>10.775721600000001</v>
      </c>
      <c r="J96">
        <v>106.6747094</v>
      </c>
      <c r="K96" t="s">
        <v>1125</v>
      </c>
      <c r="L96" t="s">
        <v>1638</v>
      </c>
      <c r="M96" t="s">
        <v>1142</v>
      </c>
      <c r="N96" t="s">
        <v>1155</v>
      </c>
      <c r="O96">
        <v>17</v>
      </c>
      <c r="P96" t="s">
        <v>1178</v>
      </c>
      <c r="Q96" t="s">
        <v>1179</v>
      </c>
      <c r="R96" t="s">
        <v>1180</v>
      </c>
    </row>
    <row r="97" spans="1:18">
      <c r="A97" t="s">
        <v>205</v>
      </c>
      <c r="B97" t="s">
        <v>206</v>
      </c>
      <c r="C97">
        <v>4.5</v>
      </c>
      <c r="D97">
        <v>23</v>
      </c>
      <c r="E97" t="s">
        <v>126</v>
      </c>
      <c r="F97" s="1"/>
      <c r="G97" t="s">
        <v>1039</v>
      </c>
      <c r="H97" t="s">
        <v>207</v>
      </c>
      <c r="I97">
        <v>10.787003</v>
      </c>
      <c r="J97">
        <v>106.6923163</v>
      </c>
      <c r="K97" t="s">
        <v>1125</v>
      </c>
      <c r="L97" t="s">
        <v>1260</v>
      </c>
      <c r="M97" t="s">
        <v>1142</v>
      </c>
      <c r="N97" t="s">
        <v>1157</v>
      </c>
      <c r="O97">
        <v>20</v>
      </c>
      <c r="P97" t="s">
        <v>1189</v>
      </c>
      <c r="Q97" t="s">
        <v>1179</v>
      </c>
      <c r="R97" t="s">
        <v>1180</v>
      </c>
    </row>
    <row r="98" spans="1:18">
      <c r="A98" t="s">
        <v>665</v>
      </c>
      <c r="B98" t="s">
        <v>666</v>
      </c>
      <c r="C98">
        <v>4.8</v>
      </c>
      <c r="D98">
        <v>2258</v>
      </c>
      <c r="E98" t="s">
        <v>34</v>
      </c>
      <c r="F98" s="1">
        <v>0.45833333333333331</v>
      </c>
      <c r="G98" t="s">
        <v>1092</v>
      </c>
      <c r="H98" t="s">
        <v>669</v>
      </c>
      <c r="I98">
        <v>10.805527700000001</v>
      </c>
      <c r="J98">
        <v>106.73366300000001</v>
      </c>
      <c r="K98" t="s">
        <v>1314</v>
      </c>
      <c r="L98" t="s">
        <v>1256</v>
      </c>
      <c r="M98" t="s">
        <v>1156</v>
      </c>
      <c r="N98" t="s">
        <v>1158</v>
      </c>
      <c r="O98">
        <v>1</v>
      </c>
      <c r="P98" t="s">
        <v>1181</v>
      </c>
      <c r="Q98" t="s">
        <v>1179</v>
      </c>
      <c r="R98" t="s">
        <v>1180</v>
      </c>
    </row>
    <row r="99" spans="1:18">
      <c r="A99" t="s">
        <v>493</v>
      </c>
      <c r="B99" t="s">
        <v>494</v>
      </c>
      <c r="C99">
        <v>4.8</v>
      </c>
      <c r="D99">
        <v>1644</v>
      </c>
      <c r="E99" t="s">
        <v>34</v>
      </c>
      <c r="F99" s="1">
        <v>0.4375</v>
      </c>
      <c r="G99" t="s">
        <v>1069</v>
      </c>
      <c r="H99" t="s">
        <v>495</v>
      </c>
      <c r="I99">
        <v>10.802954099999999</v>
      </c>
      <c r="J99">
        <v>106.7312266</v>
      </c>
      <c r="K99" t="s">
        <v>1314</v>
      </c>
      <c r="L99" t="s">
        <v>1256</v>
      </c>
      <c r="M99" t="s">
        <v>1156</v>
      </c>
      <c r="N99" t="s">
        <v>1155</v>
      </c>
      <c r="O99">
        <v>2</v>
      </c>
      <c r="P99" t="s">
        <v>1191</v>
      </c>
      <c r="Q99" t="s">
        <v>1198</v>
      </c>
      <c r="R99" t="s">
        <v>1135</v>
      </c>
    </row>
    <row r="100" spans="1:18">
      <c r="A100" t="s">
        <v>551</v>
      </c>
      <c r="B100" t="s">
        <v>552</v>
      </c>
      <c r="C100">
        <v>4.5999999999999996</v>
      </c>
      <c r="D100">
        <v>1504</v>
      </c>
      <c r="E100" t="s">
        <v>34</v>
      </c>
      <c r="F100" s="1">
        <v>0.41666666666666669</v>
      </c>
      <c r="G100" t="s">
        <v>1077</v>
      </c>
      <c r="H100" t="s">
        <v>555</v>
      </c>
      <c r="I100">
        <v>10.804209500000001</v>
      </c>
      <c r="J100">
        <v>106.7440478</v>
      </c>
      <c r="K100" t="s">
        <v>1314</v>
      </c>
      <c r="L100" t="s">
        <v>1256</v>
      </c>
      <c r="M100" t="s">
        <v>1156</v>
      </c>
      <c r="N100" t="s">
        <v>1155</v>
      </c>
      <c r="O100">
        <v>3</v>
      </c>
      <c r="P100" t="s">
        <v>1191</v>
      </c>
      <c r="Q100" t="s">
        <v>1179</v>
      </c>
      <c r="R100" t="s">
        <v>1135</v>
      </c>
    </row>
    <row r="101" spans="1:18">
      <c r="A101" t="s">
        <v>589</v>
      </c>
      <c r="B101" t="s">
        <v>590</v>
      </c>
      <c r="C101">
        <v>4.5</v>
      </c>
      <c r="D101">
        <v>1219</v>
      </c>
      <c r="E101" t="s">
        <v>22</v>
      </c>
      <c r="F101" s="1">
        <v>0.45833333333333331</v>
      </c>
      <c r="G101" t="s">
        <v>1082</v>
      </c>
      <c r="H101" t="s">
        <v>591</v>
      </c>
      <c r="I101">
        <v>10.804198700000001</v>
      </c>
      <c r="J101">
        <v>106.73356680000001</v>
      </c>
      <c r="K101" t="s">
        <v>1314</v>
      </c>
      <c r="L101" t="s">
        <v>1256</v>
      </c>
      <c r="M101" t="s">
        <v>1138</v>
      </c>
      <c r="N101" t="s">
        <v>1158</v>
      </c>
      <c r="O101">
        <v>4</v>
      </c>
      <c r="P101" t="s">
        <v>1189</v>
      </c>
      <c r="Q101" t="s">
        <v>1179</v>
      </c>
      <c r="R101" t="s">
        <v>1180</v>
      </c>
    </row>
    <row r="102" spans="1:18">
      <c r="A102" t="s">
        <v>616</v>
      </c>
      <c r="B102" t="s">
        <v>617</v>
      </c>
      <c r="C102">
        <v>4.9000000000000004</v>
      </c>
      <c r="D102">
        <v>1008</v>
      </c>
      <c r="E102" t="s">
        <v>126</v>
      </c>
      <c r="F102" s="1">
        <v>0.41666666666666669</v>
      </c>
      <c r="G102" t="s">
        <v>1086</v>
      </c>
      <c r="H102" t="s">
        <v>620</v>
      </c>
      <c r="I102">
        <v>10.8086875</v>
      </c>
      <c r="J102">
        <v>106.7287477</v>
      </c>
      <c r="K102" t="s">
        <v>1314</v>
      </c>
      <c r="L102" t="s">
        <v>1256</v>
      </c>
      <c r="M102" t="s">
        <v>1142</v>
      </c>
      <c r="N102" t="s">
        <v>1155</v>
      </c>
      <c r="O102">
        <v>6</v>
      </c>
      <c r="P102" t="s">
        <v>1181</v>
      </c>
      <c r="Q102" t="s">
        <v>1198</v>
      </c>
      <c r="R102" t="s">
        <v>1180</v>
      </c>
    </row>
    <row r="103" spans="1:18">
      <c r="A103" t="s">
        <v>563</v>
      </c>
      <c r="B103" t="s">
        <v>564</v>
      </c>
      <c r="C103">
        <v>4.7</v>
      </c>
      <c r="D103">
        <v>828</v>
      </c>
      <c r="E103" t="s">
        <v>22</v>
      </c>
      <c r="F103" s="1">
        <v>0.375</v>
      </c>
      <c r="G103" t="s">
        <v>1079</v>
      </c>
      <c r="H103" t="s">
        <v>565</v>
      </c>
      <c r="I103">
        <v>10.80339</v>
      </c>
      <c r="J103">
        <v>106.7392438</v>
      </c>
      <c r="K103" t="s">
        <v>1314</v>
      </c>
      <c r="L103" t="s">
        <v>1256</v>
      </c>
      <c r="M103" t="s">
        <v>1138</v>
      </c>
      <c r="N103" t="s">
        <v>1155</v>
      </c>
      <c r="O103">
        <v>8</v>
      </c>
      <c r="P103" t="s">
        <v>1191</v>
      </c>
      <c r="Q103" t="s">
        <v>1179</v>
      </c>
      <c r="R103" t="s">
        <v>1135</v>
      </c>
    </row>
    <row r="104" spans="1:18">
      <c r="A104" t="s">
        <v>475</v>
      </c>
      <c r="B104" t="s">
        <v>476</v>
      </c>
      <c r="C104">
        <v>4.4000000000000004</v>
      </c>
      <c r="D104">
        <v>712</v>
      </c>
      <c r="E104" t="s">
        <v>22</v>
      </c>
      <c r="F104" s="1"/>
      <c r="G104" t="s">
        <v>1066</v>
      </c>
      <c r="H104" t="s">
        <v>479</v>
      </c>
      <c r="I104">
        <v>10.797603000000001</v>
      </c>
      <c r="J104">
        <v>106.74150849999999</v>
      </c>
      <c r="K104" t="s">
        <v>1314</v>
      </c>
      <c r="L104" t="s">
        <v>1262</v>
      </c>
      <c r="M104" t="s">
        <v>1138</v>
      </c>
      <c r="N104" t="s">
        <v>1157</v>
      </c>
      <c r="O104">
        <v>9</v>
      </c>
      <c r="P104" t="s">
        <v>1181</v>
      </c>
      <c r="Q104" t="s">
        <v>1179</v>
      </c>
      <c r="R104" t="s">
        <v>1180</v>
      </c>
    </row>
    <row r="105" spans="1:18">
      <c r="A105" t="s">
        <v>676</v>
      </c>
      <c r="B105" t="s">
        <v>677</v>
      </c>
      <c r="C105">
        <v>4.8</v>
      </c>
      <c r="D105">
        <v>649</v>
      </c>
      <c r="E105" t="s">
        <v>34</v>
      </c>
      <c r="F105" s="1"/>
      <c r="G105" t="s">
        <v>1093</v>
      </c>
      <c r="H105" t="s">
        <v>681</v>
      </c>
      <c r="I105">
        <v>10.8035862</v>
      </c>
      <c r="J105">
        <v>106.72848260000001</v>
      </c>
      <c r="K105" t="s">
        <v>1314</v>
      </c>
      <c r="L105" t="s">
        <v>1256</v>
      </c>
      <c r="M105" t="s">
        <v>1156</v>
      </c>
      <c r="N105" t="s">
        <v>1157</v>
      </c>
      <c r="O105">
        <v>10</v>
      </c>
      <c r="P105" t="s">
        <v>1191</v>
      </c>
      <c r="Q105" t="s">
        <v>1179</v>
      </c>
      <c r="R105" t="s">
        <v>1135</v>
      </c>
    </row>
    <row r="106" spans="1:18">
      <c r="A106" t="s">
        <v>486</v>
      </c>
      <c r="B106" t="s">
        <v>487</v>
      </c>
      <c r="C106">
        <v>4.8</v>
      </c>
      <c r="D106">
        <v>629</v>
      </c>
      <c r="E106" t="s">
        <v>34</v>
      </c>
      <c r="F106" s="1">
        <v>0.375</v>
      </c>
      <c r="G106" t="s">
        <v>1068</v>
      </c>
      <c r="H106" t="s">
        <v>489</v>
      </c>
      <c r="I106">
        <v>10.802349</v>
      </c>
      <c r="J106">
        <v>106.73715970000001</v>
      </c>
      <c r="K106" t="s">
        <v>1314</v>
      </c>
      <c r="L106" t="s">
        <v>1256</v>
      </c>
      <c r="M106" t="s">
        <v>1156</v>
      </c>
      <c r="N106" t="s">
        <v>1155</v>
      </c>
      <c r="O106">
        <v>11</v>
      </c>
      <c r="P106" t="s">
        <v>1187</v>
      </c>
      <c r="Q106" t="s">
        <v>1198</v>
      </c>
      <c r="R106" t="s">
        <v>1180</v>
      </c>
    </row>
    <row r="107" spans="1:18">
      <c r="A107" t="s">
        <v>468</v>
      </c>
      <c r="B107" t="s">
        <v>469</v>
      </c>
      <c r="C107">
        <v>4.9000000000000004</v>
      </c>
      <c r="D107">
        <v>525</v>
      </c>
      <c r="E107" t="s">
        <v>34</v>
      </c>
      <c r="F107" s="1"/>
      <c r="G107" t="s">
        <v>1065</v>
      </c>
      <c r="H107" t="s">
        <v>470</v>
      </c>
      <c r="I107">
        <v>10.801888</v>
      </c>
      <c r="J107">
        <v>106.7354722</v>
      </c>
      <c r="K107" t="s">
        <v>1314</v>
      </c>
      <c r="L107" t="s">
        <v>1256</v>
      </c>
      <c r="M107" t="s">
        <v>1156</v>
      </c>
      <c r="N107" t="s">
        <v>1157</v>
      </c>
      <c r="O107">
        <v>12</v>
      </c>
      <c r="P107" t="s">
        <v>1181</v>
      </c>
      <c r="Q107" t="s">
        <v>1179</v>
      </c>
      <c r="R107" t="s">
        <v>1180</v>
      </c>
    </row>
    <row r="108" spans="1:18">
      <c r="A108" t="s">
        <v>633</v>
      </c>
      <c r="B108" t="s">
        <v>634</v>
      </c>
      <c r="C108">
        <v>4.5</v>
      </c>
      <c r="D108">
        <v>513</v>
      </c>
      <c r="E108" t="s">
        <v>22</v>
      </c>
      <c r="F108" s="1">
        <v>0.375</v>
      </c>
      <c r="G108" t="s">
        <v>1088</v>
      </c>
      <c r="H108" t="s">
        <v>635</v>
      </c>
      <c r="I108">
        <v>10.804266500000001</v>
      </c>
      <c r="J108">
        <v>106.74432539999999</v>
      </c>
      <c r="K108" t="s">
        <v>1314</v>
      </c>
      <c r="L108" t="s">
        <v>1256</v>
      </c>
      <c r="M108" t="s">
        <v>1138</v>
      </c>
      <c r="N108" t="s">
        <v>1155</v>
      </c>
      <c r="O108">
        <v>13</v>
      </c>
      <c r="P108" t="s">
        <v>1187</v>
      </c>
      <c r="Q108" t="s">
        <v>1198</v>
      </c>
      <c r="R108" t="s">
        <v>1180</v>
      </c>
    </row>
    <row r="109" spans="1:18">
      <c r="A109" t="s">
        <v>516</v>
      </c>
      <c r="B109" t="s">
        <v>517</v>
      </c>
      <c r="C109">
        <v>4.5999999999999996</v>
      </c>
      <c r="D109">
        <v>462</v>
      </c>
      <c r="E109" t="s">
        <v>22</v>
      </c>
      <c r="F109" s="1">
        <v>0.33333333333333331</v>
      </c>
      <c r="G109" t="s">
        <v>1072</v>
      </c>
      <c r="H109" t="s">
        <v>518</v>
      </c>
      <c r="I109">
        <v>10.803857799999999</v>
      </c>
      <c r="J109">
        <v>106.72841529999999</v>
      </c>
      <c r="K109" t="s">
        <v>1314</v>
      </c>
      <c r="L109" t="s">
        <v>1256</v>
      </c>
      <c r="M109" t="s">
        <v>1138</v>
      </c>
      <c r="N109" t="s">
        <v>1155</v>
      </c>
      <c r="O109">
        <v>14</v>
      </c>
      <c r="P109" t="s">
        <v>1191</v>
      </c>
      <c r="Q109" t="s">
        <v>1179</v>
      </c>
      <c r="R109" t="s">
        <v>1135</v>
      </c>
    </row>
    <row r="110" spans="1:18">
      <c r="A110" t="s">
        <v>480</v>
      </c>
      <c r="B110" t="s">
        <v>481</v>
      </c>
      <c r="C110">
        <v>4.5999999999999996</v>
      </c>
      <c r="D110">
        <v>394</v>
      </c>
      <c r="E110" t="s">
        <v>126</v>
      </c>
      <c r="F110" s="1">
        <v>0.375</v>
      </c>
      <c r="G110" t="s">
        <v>1067</v>
      </c>
      <c r="H110" t="s">
        <v>482</v>
      </c>
      <c r="I110">
        <v>10.7961531</v>
      </c>
      <c r="J110">
        <v>106.7310219</v>
      </c>
      <c r="K110" t="s">
        <v>1314</v>
      </c>
      <c r="L110" t="s">
        <v>1262</v>
      </c>
      <c r="M110" t="s">
        <v>1142</v>
      </c>
      <c r="N110" t="s">
        <v>1155</v>
      </c>
      <c r="O110">
        <v>15</v>
      </c>
      <c r="P110" t="s">
        <v>1181</v>
      </c>
      <c r="Q110" t="s">
        <v>1179</v>
      </c>
      <c r="R110" t="s">
        <v>1180</v>
      </c>
    </row>
    <row r="111" spans="1:18">
      <c r="A111" t="s">
        <v>595</v>
      </c>
      <c r="B111" t="s">
        <v>380</v>
      </c>
      <c r="C111">
        <v>4.9000000000000004</v>
      </c>
      <c r="D111">
        <v>334</v>
      </c>
      <c r="E111" t="s">
        <v>22</v>
      </c>
      <c r="F111" s="1">
        <v>0.375</v>
      </c>
      <c r="G111" t="s">
        <v>1083</v>
      </c>
      <c r="H111" t="s">
        <v>382</v>
      </c>
      <c r="I111">
        <v>10.8089914</v>
      </c>
      <c r="J111">
        <v>106.75360860000001</v>
      </c>
      <c r="K111" t="s">
        <v>1314</v>
      </c>
      <c r="L111" t="s">
        <v>1256</v>
      </c>
      <c r="M111" t="s">
        <v>1138</v>
      </c>
      <c r="N111" t="s">
        <v>1155</v>
      </c>
      <c r="O111">
        <v>16</v>
      </c>
      <c r="P111" t="s">
        <v>1191</v>
      </c>
      <c r="Q111" t="s">
        <v>1198</v>
      </c>
      <c r="R111" t="s">
        <v>1135</v>
      </c>
    </row>
    <row r="112" spans="1:18">
      <c r="A112" t="s">
        <v>379</v>
      </c>
      <c r="B112" t="s">
        <v>380</v>
      </c>
      <c r="C112">
        <v>4.9000000000000004</v>
      </c>
      <c r="D112">
        <v>333</v>
      </c>
      <c r="E112" t="s">
        <v>34</v>
      </c>
      <c r="F112" s="1">
        <v>0.375</v>
      </c>
      <c r="G112" t="s">
        <v>1058</v>
      </c>
      <c r="H112" t="s">
        <v>382</v>
      </c>
      <c r="I112">
        <v>10.808991000000001</v>
      </c>
      <c r="J112">
        <v>106.753609</v>
      </c>
      <c r="K112" t="s">
        <v>1314</v>
      </c>
      <c r="L112" t="s">
        <v>1256</v>
      </c>
      <c r="M112" t="s">
        <v>1156</v>
      </c>
      <c r="N112" t="s">
        <v>1155</v>
      </c>
      <c r="O112">
        <v>17</v>
      </c>
      <c r="P112" t="s">
        <v>1191</v>
      </c>
      <c r="Q112" t="s">
        <v>1198</v>
      </c>
      <c r="R112" t="s">
        <v>1135</v>
      </c>
    </row>
    <row r="113" spans="1:18">
      <c r="A113" t="s">
        <v>504</v>
      </c>
      <c r="B113" t="s">
        <v>505</v>
      </c>
      <c r="C113">
        <v>4.8</v>
      </c>
      <c r="D113">
        <v>308</v>
      </c>
      <c r="E113" t="s">
        <v>22</v>
      </c>
      <c r="F113" s="1"/>
      <c r="G113" t="s">
        <v>1071</v>
      </c>
      <c r="H113" t="s">
        <v>506</v>
      </c>
      <c r="I113">
        <v>10.8065373</v>
      </c>
      <c r="J113">
        <v>106.7308124</v>
      </c>
      <c r="K113" t="s">
        <v>1314</v>
      </c>
      <c r="L113" t="s">
        <v>1256</v>
      </c>
      <c r="M113" t="s">
        <v>1138</v>
      </c>
      <c r="N113" t="s">
        <v>1157</v>
      </c>
      <c r="O113">
        <v>18</v>
      </c>
      <c r="P113" t="s">
        <v>1178</v>
      </c>
      <c r="Q113" t="s">
        <v>1179</v>
      </c>
      <c r="R113" t="s">
        <v>1180</v>
      </c>
    </row>
    <row r="114" spans="1:18">
      <c r="A114" t="s">
        <v>704</v>
      </c>
      <c r="B114" t="s">
        <v>705</v>
      </c>
      <c r="C114">
        <v>4.5</v>
      </c>
      <c r="D114">
        <v>265</v>
      </c>
      <c r="E114" t="s">
        <v>22</v>
      </c>
      <c r="F114" s="1">
        <v>0.375</v>
      </c>
      <c r="G114" t="s">
        <v>1097</v>
      </c>
      <c r="H114" t="s">
        <v>709</v>
      </c>
      <c r="I114">
        <v>10.8031576</v>
      </c>
      <c r="J114">
        <v>106.752121</v>
      </c>
      <c r="K114" t="s">
        <v>1314</v>
      </c>
      <c r="L114" t="s">
        <v>1256</v>
      </c>
      <c r="M114" t="s">
        <v>1138</v>
      </c>
      <c r="N114" t="s">
        <v>1155</v>
      </c>
      <c r="O114">
        <v>19</v>
      </c>
      <c r="P114" t="s">
        <v>1181</v>
      </c>
      <c r="Q114" t="s">
        <v>1179</v>
      </c>
      <c r="R114" t="s">
        <v>1180</v>
      </c>
    </row>
    <row r="115" spans="1:18">
      <c r="A115" t="s">
        <v>758</v>
      </c>
      <c r="B115" t="s">
        <v>759</v>
      </c>
      <c r="C115">
        <v>4.5</v>
      </c>
      <c r="D115">
        <v>190</v>
      </c>
      <c r="E115" t="s">
        <v>22</v>
      </c>
      <c r="F115" s="1">
        <v>0.41666666666666669</v>
      </c>
      <c r="G115" t="s">
        <v>1101</v>
      </c>
      <c r="H115" t="s">
        <v>763</v>
      </c>
      <c r="I115">
        <v>10.803716400000001</v>
      </c>
      <c r="J115">
        <v>106.7349952</v>
      </c>
      <c r="K115" t="s">
        <v>1314</v>
      </c>
      <c r="L115" t="s">
        <v>1256</v>
      </c>
      <c r="M115" t="s">
        <v>1138</v>
      </c>
      <c r="N115" t="s">
        <v>1155</v>
      </c>
      <c r="O115">
        <v>20</v>
      </c>
      <c r="P115" t="s">
        <v>1178</v>
      </c>
      <c r="Q115" t="s">
        <v>1179</v>
      </c>
      <c r="R115" t="s">
        <v>1180</v>
      </c>
    </row>
    <row r="116" spans="1:18">
      <c r="A116" t="s">
        <v>599</v>
      </c>
      <c r="B116" t="s">
        <v>600</v>
      </c>
      <c r="C116">
        <v>4.9000000000000004</v>
      </c>
      <c r="D116">
        <v>169</v>
      </c>
      <c r="E116" t="s">
        <v>34</v>
      </c>
      <c r="F116" s="1">
        <v>0.39583333333333331</v>
      </c>
      <c r="G116" t="s">
        <v>1084</v>
      </c>
      <c r="H116" t="s">
        <v>601</v>
      </c>
      <c r="I116">
        <v>10.8060957</v>
      </c>
      <c r="J116">
        <v>106.7407594</v>
      </c>
      <c r="K116" t="s">
        <v>1314</v>
      </c>
      <c r="L116" t="s">
        <v>1256</v>
      </c>
      <c r="M116" t="s">
        <v>1156</v>
      </c>
      <c r="N116" t="s">
        <v>1155</v>
      </c>
      <c r="O116">
        <v>21</v>
      </c>
      <c r="P116" t="s">
        <v>1178</v>
      </c>
      <c r="Q116" t="s">
        <v>1179</v>
      </c>
      <c r="R116" t="s">
        <v>1180</v>
      </c>
    </row>
    <row r="117" spans="1:18">
      <c r="A117" t="s">
        <v>644</v>
      </c>
      <c r="B117" t="s">
        <v>645</v>
      </c>
      <c r="C117">
        <v>4.5999999999999996</v>
      </c>
      <c r="D117">
        <v>147</v>
      </c>
      <c r="E117" t="s">
        <v>22</v>
      </c>
      <c r="F117" s="1">
        <v>0.375</v>
      </c>
      <c r="G117" t="s">
        <v>1089</v>
      </c>
      <c r="H117" t="s">
        <v>646</v>
      </c>
      <c r="I117">
        <v>10.804643</v>
      </c>
      <c r="J117">
        <v>106.732175</v>
      </c>
      <c r="K117" t="s">
        <v>1314</v>
      </c>
      <c r="L117" t="s">
        <v>1256</v>
      </c>
      <c r="M117" t="s">
        <v>1138</v>
      </c>
      <c r="N117" t="s">
        <v>1155</v>
      </c>
      <c r="O117">
        <v>23</v>
      </c>
      <c r="P117" t="s">
        <v>1178</v>
      </c>
      <c r="Q117" t="s">
        <v>1179</v>
      </c>
      <c r="R117" t="s">
        <v>1180</v>
      </c>
    </row>
    <row r="118" spans="1:18">
      <c r="A118" t="s">
        <v>556</v>
      </c>
      <c r="B118" t="s">
        <v>557</v>
      </c>
      <c r="C118">
        <v>4.8</v>
      </c>
      <c r="D118">
        <v>142</v>
      </c>
      <c r="E118" t="s">
        <v>22</v>
      </c>
      <c r="F118" s="1"/>
      <c r="G118" t="s">
        <v>1078</v>
      </c>
      <c r="H118" t="s">
        <v>558</v>
      </c>
      <c r="I118">
        <v>10.803062000000001</v>
      </c>
      <c r="J118">
        <v>106.7292159</v>
      </c>
      <c r="K118" t="s">
        <v>1314</v>
      </c>
      <c r="L118" t="s">
        <v>1256</v>
      </c>
      <c r="M118" t="s">
        <v>1138</v>
      </c>
      <c r="N118" t="s">
        <v>1157</v>
      </c>
      <c r="O118">
        <v>25</v>
      </c>
      <c r="P118" t="s">
        <v>1178</v>
      </c>
      <c r="Q118" t="s">
        <v>1179</v>
      </c>
      <c r="R118" t="s">
        <v>1180</v>
      </c>
    </row>
    <row r="119" spans="1:18">
      <c r="A119" t="s">
        <v>621</v>
      </c>
      <c r="B119" t="s">
        <v>622</v>
      </c>
      <c r="C119">
        <v>4.8</v>
      </c>
      <c r="D119">
        <v>135</v>
      </c>
      <c r="E119" t="s">
        <v>22</v>
      </c>
      <c r="F119" s="1">
        <v>0.375</v>
      </c>
      <c r="G119" t="s">
        <v>1087</v>
      </c>
      <c r="H119" t="s">
        <v>623</v>
      </c>
      <c r="I119">
        <v>10.8047387</v>
      </c>
      <c r="J119">
        <v>106.7285675</v>
      </c>
      <c r="K119" t="s">
        <v>1314</v>
      </c>
      <c r="L119" t="s">
        <v>1256</v>
      </c>
      <c r="M119" t="s">
        <v>1138</v>
      </c>
      <c r="N119" t="s">
        <v>1155</v>
      </c>
      <c r="O119">
        <v>26</v>
      </c>
      <c r="P119" t="s">
        <v>1178</v>
      </c>
      <c r="Q119" t="s">
        <v>1179</v>
      </c>
      <c r="R119" t="s">
        <v>1180</v>
      </c>
    </row>
    <row r="120" spans="1:18">
      <c r="A120" t="s">
        <v>539</v>
      </c>
      <c r="B120" t="s">
        <v>540</v>
      </c>
      <c r="C120">
        <v>4.5</v>
      </c>
      <c r="D120">
        <v>78</v>
      </c>
      <c r="E120" t="s">
        <v>126</v>
      </c>
      <c r="F120" s="1"/>
      <c r="G120" t="s">
        <v>1075</v>
      </c>
      <c r="H120" t="s">
        <v>541</v>
      </c>
      <c r="I120">
        <v>10.794017800000001</v>
      </c>
      <c r="J120">
        <v>106.741034</v>
      </c>
      <c r="K120" t="s">
        <v>1314</v>
      </c>
      <c r="L120" t="s">
        <v>1262</v>
      </c>
      <c r="M120" t="s">
        <v>1142</v>
      </c>
      <c r="N120" t="s">
        <v>1157</v>
      </c>
      <c r="O120">
        <v>28</v>
      </c>
      <c r="P120" t="s">
        <v>1181</v>
      </c>
      <c r="Q120" t="s">
        <v>1179</v>
      </c>
      <c r="R120" t="s">
        <v>1180</v>
      </c>
    </row>
    <row r="121" spans="1:18">
      <c r="A121" t="s">
        <v>499</v>
      </c>
      <c r="B121" t="s">
        <v>500</v>
      </c>
      <c r="C121">
        <v>5</v>
      </c>
      <c r="D121">
        <v>63</v>
      </c>
      <c r="E121" t="s">
        <v>126</v>
      </c>
      <c r="F121" s="1">
        <v>0.6875</v>
      </c>
      <c r="G121" t="s">
        <v>1070</v>
      </c>
      <c r="H121" t="s">
        <v>501</v>
      </c>
      <c r="I121">
        <v>10.792175800000001</v>
      </c>
      <c r="J121">
        <v>106.745538</v>
      </c>
      <c r="K121" t="s">
        <v>1314</v>
      </c>
      <c r="L121" t="s">
        <v>1262</v>
      </c>
      <c r="M121" t="s">
        <v>1142</v>
      </c>
      <c r="N121" t="s">
        <v>1160</v>
      </c>
      <c r="O121">
        <v>29</v>
      </c>
      <c r="P121" t="s">
        <v>1181</v>
      </c>
      <c r="Q121" t="s">
        <v>1179</v>
      </c>
      <c r="R121" t="s">
        <v>1180</v>
      </c>
    </row>
    <row r="122" spans="1:18">
      <c r="A122" t="s">
        <v>544</v>
      </c>
      <c r="B122" t="s">
        <v>545</v>
      </c>
      <c r="C122">
        <v>4.8</v>
      </c>
      <c r="D122">
        <v>53</v>
      </c>
      <c r="E122" t="s">
        <v>126</v>
      </c>
      <c r="F122" s="1"/>
      <c r="G122" t="s">
        <v>1076</v>
      </c>
      <c r="H122" t="s">
        <v>547</v>
      </c>
      <c r="I122">
        <v>10.804199499999999</v>
      </c>
      <c r="J122">
        <v>106.7436151</v>
      </c>
      <c r="K122" t="s">
        <v>1314</v>
      </c>
      <c r="L122" t="s">
        <v>1256</v>
      </c>
      <c r="M122" t="s">
        <v>1142</v>
      </c>
      <c r="N122" t="s">
        <v>1157</v>
      </c>
      <c r="O122">
        <v>31</v>
      </c>
      <c r="P122" t="s">
        <v>1191</v>
      </c>
      <c r="Q122" t="s">
        <v>1179</v>
      </c>
      <c r="R122" t="s">
        <v>1135</v>
      </c>
    </row>
    <row r="123" spans="1:18">
      <c r="A123" t="s">
        <v>534</v>
      </c>
      <c r="B123" t="s">
        <v>405</v>
      </c>
      <c r="C123">
        <v>4.8</v>
      </c>
      <c r="D123">
        <v>36</v>
      </c>
      <c r="E123" t="s">
        <v>34</v>
      </c>
      <c r="F123" s="1">
        <v>0.33333333333333331</v>
      </c>
      <c r="G123" t="s">
        <v>1074</v>
      </c>
      <c r="H123" t="s">
        <v>535</v>
      </c>
      <c r="I123">
        <v>10.806439299999999</v>
      </c>
      <c r="J123">
        <v>106.7349425</v>
      </c>
      <c r="K123" t="s">
        <v>1314</v>
      </c>
      <c r="L123" t="s">
        <v>1256</v>
      </c>
      <c r="M123" t="s">
        <v>1156</v>
      </c>
      <c r="N123" t="s">
        <v>1155</v>
      </c>
      <c r="O123">
        <v>32</v>
      </c>
      <c r="P123" t="s">
        <v>1178</v>
      </c>
      <c r="Q123" t="s">
        <v>1179</v>
      </c>
      <c r="R123" t="s">
        <v>1180</v>
      </c>
    </row>
    <row r="124" spans="1:18">
      <c r="A124" t="s">
        <v>582</v>
      </c>
      <c r="B124" t="s">
        <v>583</v>
      </c>
      <c r="C124">
        <v>4.8</v>
      </c>
      <c r="D124">
        <v>33</v>
      </c>
      <c r="E124" t="s">
        <v>22</v>
      </c>
      <c r="F124" s="1">
        <v>0.47916666666666669</v>
      </c>
      <c r="G124" t="s">
        <v>1081</v>
      </c>
      <c r="H124" t="s">
        <v>1161</v>
      </c>
      <c r="I124">
        <v>10.8044683</v>
      </c>
      <c r="J124">
        <v>106.73955479999999</v>
      </c>
      <c r="K124" t="s">
        <v>1314</v>
      </c>
      <c r="L124" t="s">
        <v>1256</v>
      </c>
      <c r="M124" t="s">
        <v>1138</v>
      </c>
      <c r="N124" t="s">
        <v>1158</v>
      </c>
      <c r="O124">
        <v>33</v>
      </c>
      <c r="P124" t="s">
        <v>1181</v>
      </c>
      <c r="Q124" t="s">
        <v>1179</v>
      </c>
      <c r="R124" t="s">
        <v>1180</v>
      </c>
    </row>
    <row r="125" spans="1:18">
      <c r="A125" t="s">
        <v>521</v>
      </c>
      <c r="B125" t="s">
        <v>522</v>
      </c>
      <c r="C125">
        <v>4.5999999999999996</v>
      </c>
      <c r="D125">
        <v>28</v>
      </c>
      <c r="E125" t="s">
        <v>22</v>
      </c>
      <c r="F125" s="1"/>
      <c r="G125" t="s">
        <v>1073</v>
      </c>
      <c r="H125" t="s">
        <v>524</v>
      </c>
      <c r="I125">
        <v>10.801554400000001</v>
      </c>
      <c r="J125">
        <v>106.7293157</v>
      </c>
      <c r="K125" t="s">
        <v>1314</v>
      </c>
      <c r="L125" t="s">
        <v>1256</v>
      </c>
      <c r="M125" t="s">
        <v>1138</v>
      </c>
      <c r="N125" t="s">
        <v>1157</v>
      </c>
      <c r="O125">
        <v>36</v>
      </c>
      <c r="P125" t="s">
        <v>1178</v>
      </c>
      <c r="Q125" t="s">
        <v>1198</v>
      </c>
      <c r="R125" t="s">
        <v>1180</v>
      </c>
    </row>
    <row r="126" spans="1:18">
      <c r="A126" t="s">
        <v>654</v>
      </c>
      <c r="B126" t="s">
        <v>655</v>
      </c>
      <c r="C126">
        <v>4.5</v>
      </c>
      <c r="D126">
        <v>28</v>
      </c>
      <c r="E126" t="s">
        <v>126</v>
      </c>
      <c r="F126" s="1"/>
      <c r="G126" t="s">
        <v>1090</v>
      </c>
      <c r="H126" t="s">
        <v>656</v>
      </c>
      <c r="I126">
        <v>10.806095600000001</v>
      </c>
      <c r="J126">
        <v>106.7510874</v>
      </c>
      <c r="K126" t="s">
        <v>1314</v>
      </c>
      <c r="L126" t="s">
        <v>1256</v>
      </c>
      <c r="M126" t="s">
        <v>1142</v>
      </c>
      <c r="N126" t="s">
        <v>1157</v>
      </c>
      <c r="O126">
        <v>35</v>
      </c>
      <c r="P126" t="s">
        <v>1181</v>
      </c>
      <c r="Q126" t="s">
        <v>1179</v>
      </c>
      <c r="R126" t="s">
        <v>1180</v>
      </c>
    </row>
    <row r="127" spans="1:18">
      <c r="A127" t="s">
        <v>575</v>
      </c>
      <c r="B127" t="s">
        <v>576</v>
      </c>
      <c r="C127">
        <v>4.5</v>
      </c>
      <c r="D127">
        <v>27</v>
      </c>
      <c r="E127" t="s">
        <v>22</v>
      </c>
      <c r="F127" s="1"/>
      <c r="G127" t="s">
        <v>1080</v>
      </c>
      <c r="H127" t="s">
        <v>581</v>
      </c>
      <c r="I127">
        <v>10.789558400000001</v>
      </c>
      <c r="J127">
        <v>106.7436764</v>
      </c>
      <c r="K127" t="s">
        <v>1314</v>
      </c>
      <c r="L127" t="s">
        <v>1262</v>
      </c>
      <c r="M127" t="s">
        <v>1138</v>
      </c>
      <c r="N127" t="s">
        <v>1157</v>
      </c>
      <c r="O127">
        <v>37</v>
      </c>
      <c r="P127" t="s">
        <v>1181</v>
      </c>
      <c r="Q127" t="s">
        <v>1198</v>
      </c>
      <c r="R127" t="s">
        <v>1180</v>
      </c>
    </row>
    <row r="128" spans="1:18">
      <c r="A128" t="s">
        <v>659</v>
      </c>
      <c r="B128" t="s">
        <v>660</v>
      </c>
      <c r="C128">
        <v>4.9000000000000004</v>
      </c>
      <c r="D128">
        <v>19</v>
      </c>
      <c r="E128" t="s">
        <v>34</v>
      </c>
      <c r="F128" s="1">
        <v>0.35416666666666669</v>
      </c>
      <c r="G128" t="s">
        <v>1091</v>
      </c>
      <c r="H128" t="s">
        <v>661</v>
      </c>
      <c r="I128">
        <v>10.8120476</v>
      </c>
      <c r="J128">
        <v>106.7348551</v>
      </c>
      <c r="K128" t="s">
        <v>1314</v>
      </c>
      <c r="L128" t="s">
        <v>1256</v>
      </c>
      <c r="M128" t="s">
        <v>1156</v>
      </c>
      <c r="N128" t="s">
        <v>1155</v>
      </c>
      <c r="O128">
        <v>38</v>
      </c>
      <c r="P128" t="s">
        <v>1178</v>
      </c>
      <c r="Q128" t="s">
        <v>1179</v>
      </c>
      <c r="R128" t="s">
        <v>1180</v>
      </c>
    </row>
    <row r="129" spans="1:18">
      <c r="A129" t="s">
        <v>693</v>
      </c>
      <c r="B129" t="s">
        <v>694</v>
      </c>
      <c r="C129">
        <v>5</v>
      </c>
      <c r="D129">
        <v>10</v>
      </c>
      <c r="E129" t="s">
        <v>22</v>
      </c>
      <c r="F129" s="1">
        <v>0.375</v>
      </c>
      <c r="G129" t="s">
        <v>1095</v>
      </c>
      <c r="H129" t="s">
        <v>695</v>
      </c>
      <c r="I129">
        <v>10.8044683</v>
      </c>
      <c r="J129">
        <v>106.73955479999999</v>
      </c>
      <c r="K129" t="s">
        <v>1314</v>
      </c>
      <c r="L129" t="s">
        <v>1256</v>
      </c>
      <c r="M129" t="s">
        <v>1138</v>
      </c>
      <c r="N129" t="s">
        <v>1155</v>
      </c>
      <c r="O129">
        <v>39</v>
      </c>
      <c r="P129" t="s">
        <v>1181</v>
      </c>
      <c r="Q129" t="s">
        <v>1179</v>
      </c>
      <c r="R129" t="s">
        <v>1180</v>
      </c>
    </row>
    <row r="130" spans="1:18">
      <c r="A130" t="s">
        <v>511</v>
      </c>
      <c r="B130" t="s">
        <v>512</v>
      </c>
      <c r="C130">
        <v>5</v>
      </c>
      <c r="D130">
        <v>4</v>
      </c>
      <c r="E130" t="s">
        <v>22</v>
      </c>
      <c r="F130" s="1"/>
      <c r="G130" t="s">
        <v>1013</v>
      </c>
      <c r="H130" t="s">
        <v>513</v>
      </c>
      <c r="I130">
        <v>10.8030413</v>
      </c>
      <c r="J130">
        <v>106.7323303</v>
      </c>
      <c r="K130" t="s">
        <v>1314</v>
      </c>
      <c r="L130" t="s">
        <v>1256</v>
      </c>
      <c r="M130" t="s">
        <v>1138</v>
      </c>
      <c r="N130" t="s">
        <v>1157</v>
      </c>
      <c r="O130">
        <v>40</v>
      </c>
      <c r="P130" t="s">
        <v>1191</v>
      </c>
      <c r="Q130" t="s">
        <v>1179</v>
      </c>
      <c r="R130" t="s">
        <v>1135</v>
      </c>
    </row>
    <row r="131" spans="1:18">
      <c r="A131" t="s">
        <v>810</v>
      </c>
      <c r="B131" t="s">
        <v>811</v>
      </c>
      <c r="C131">
        <v>4.9000000000000004</v>
      </c>
      <c r="D131">
        <v>767</v>
      </c>
      <c r="E131" t="s">
        <v>18</v>
      </c>
      <c r="F131" s="1">
        <v>0.41666666666666669</v>
      </c>
      <c r="G131" t="s">
        <v>1109</v>
      </c>
      <c r="H131" t="s">
        <v>812</v>
      </c>
      <c r="I131">
        <v>10.7280502</v>
      </c>
      <c r="J131">
        <v>106.7103638</v>
      </c>
      <c r="K131" t="s">
        <v>1128</v>
      </c>
      <c r="L131" t="s">
        <v>1263</v>
      </c>
      <c r="M131" t="s">
        <v>1157</v>
      </c>
      <c r="N131" t="s">
        <v>1155</v>
      </c>
      <c r="O131">
        <v>1</v>
      </c>
      <c r="P131" t="s">
        <v>1181</v>
      </c>
      <c r="Q131" t="s">
        <v>1198</v>
      </c>
      <c r="R131" t="s">
        <v>1180</v>
      </c>
    </row>
    <row r="132" spans="1:18">
      <c r="A132" t="s">
        <v>780</v>
      </c>
      <c r="B132" t="s">
        <v>781</v>
      </c>
      <c r="C132">
        <v>4.5</v>
      </c>
      <c r="D132">
        <v>738</v>
      </c>
      <c r="E132" t="s">
        <v>34</v>
      </c>
      <c r="F132" s="1"/>
      <c r="G132" t="s">
        <v>1105</v>
      </c>
      <c r="H132" t="s">
        <v>782</v>
      </c>
      <c r="I132">
        <v>10.7198048</v>
      </c>
      <c r="J132">
        <v>106.73119060000001</v>
      </c>
      <c r="K132" t="s">
        <v>1128</v>
      </c>
      <c r="L132" t="s">
        <v>1264</v>
      </c>
      <c r="M132" t="s">
        <v>1156</v>
      </c>
      <c r="N132" t="s">
        <v>1157</v>
      </c>
      <c r="O132">
        <v>2</v>
      </c>
      <c r="P132" t="s">
        <v>1191</v>
      </c>
      <c r="Q132" t="s">
        <v>1179</v>
      </c>
      <c r="R132" t="s">
        <v>1135</v>
      </c>
    </row>
    <row r="133" spans="1:18">
      <c r="A133" t="s">
        <v>859</v>
      </c>
      <c r="B133" t="s">
        <v>860</v>
      </c>
      <c r="C133">
        <v>4.9000000000000004</v>
      </c>
      <c r="D133">
        <v>686</v>
      </c>
      <c r="E133" t="s">
        <v>22</v>
      </c>
      <c r="F133" s="1">
        <v>0.45833333333333331</v>
      </c>
      <c r="G133" t="s">
        <v>1112</v>
      </c>
      <c r="H133" t="s">
        <v>861</v>
      </c>
      <c r="I133">
        <v>10.749494800000001</v>
      </c>
      <c r="J133">
        <v>106.70502639999999</v>
      </c>
      <c r="K133" t="s">
        <v>1128</v>
      </c>
      <c r="L133" t="s">
        <v>1265</v>
      </c>
      <c r="M133" t="s">
        <v>1138</v>
      </c>
      <c r="N133" t="s">
        <v>1158</v>
      </c>
      <c r="O133">
        <v>3</v>
      </c>
      <c r="P133" t="s">
        <v>1178</v>
      </c>
      <c r="Q133" t="s">
        <v>1198</v>
      </c>
      <c r="R133" t="s">
        <v>1180</v>
      </c>
    </row>
    <row r="134" spans="1:18">
      <c r="A134" t="s">
        <v>800</v>
      </c>
      <c r="B134" t="s">
        <v>801</v>
      </c>
      <c r="C134">
        <v>4.8</v>
      </c>
      <c r="D134">
        <v>659</v>
      </c>
      <c r="E134" t="s">
        <v>22</v>
      </c>
      <c r="F134" s="1"/>
      <c r="G134" t="s">
        <v>1107</v>
      </c>
      <c r="H134" t="s">
        <v>804</v>
      </c>
      <c r="I134">
        <v>10.722410999999999</v>
      </c>
      <c r="J134">
        <v>106.7124706</v>
      </c>
      <c r="K134" t="s">
        <v>1128</v>
      </c>
      <c r="L134" t="s">
        <v>1263</v>
      </c>
      <c r="M134" t="s">
        <v>1138</v>
      </c>
      <c r="N134" t="s">
        <v>1157</v>
      </c>
      <c r="O134">
        <v>4</v>
      </c>
      <c r="P134" t="s">
        <v>1191</v>
      </c>
      <c r="Q134" t="s">
        <v>1198</v>
      </c>
      <c r="R134" t="s">
        <v>1135</v>
      </c>
    </row>
    <row r="135" spans="1:18">
      <c r="A135" t="s">
        <v>815</v>
      </c>
      <c r="B135" t="s">
        <v>816</v>
      </c>
      <c r="C135">
        <v>4.5999999999999996</v>
      </c>
      <c r="D135">
        <v>420</v>
      </c>
      <c r="E135" t="s">
        <v>22</v>
      </c>
      <c r="F135" s="1">
        <v>0.35416666666666669</v>
      </c>
      <c r="G135" t="s">
        <v>1110</v>
      </c>
      <c r="H135" t="s">
        <v>817</v>
      </c>
      <c r="I135">
        <v>10.733912500000001</v>
      </c>
      <c r="J135">
        <v>106.70202279999999</v>
      </c>
      <c r="K135" t="s">
        <v>1128</v>
      </c>
      <c r="L135" t="s">
        <v>1266</v>
      </c>
      <c r="M135" t="s">
        <v>1138</v>
      </c>
      <c r="N135" t="s">
        <v>1155</v>
      </c>
      <c r="O135">
        <v>5</v>
      </c>
      <c r="P135" t="s">
        <v>1178</v>
      </c>
      <c r="Q135" t="s">
        <v>1198</v>
      </c>
      <c r="R135" t="s">
        <v>1180</v>
      </c>
    </row>
    <row r="136" spans="1:18">
      <c r="A136" t="s">
        <v>786</v>
      </c>
      <c r="B136" t="s">
        <v>787</v>
      </c>
      <c r="C136">
        <v>4.5</v>
      </c>
      <c r="D136">
        <v>370</v>
      </c>
      <c r="E136" t="s">
        <v>165</v>
      </c>
      <c r="F136" s="1"/>
      <c r="G136" t="s">
        <v>1106</v>
      </c>
      <c r="H136" t="s">
        <v>788</v>
      </c>
      <c r="I136">
        <v>10.727579199999999</v>
      </c>
      <c r="J136">
        <v>106.7124718</v>
      </c>
      <c r="K136" t="s">
        <v>1128</v>
      </c>
      <c r="L136" t="s">
        <v>1263</v>
      </c>
      <c r="M136" t="s">
        <v>1157</v>
      </c>
      <c r="N136" t="s">
        <v>1157</v>
      </c>
      <c r="O136">
        <v>6</v>
      </c>
      <c r="P136" t="s">
        <v>1191</v>
      </c>
      <c r="Q136" t="s">
        <v>1198</v>
      </c>
      <c r="R136" t="s">
        <v>1135</v>
      </c>
    </row>
    <row r="137" spans="1:18">
      <c r="A137" t="s">
        <v>775</v>
      </c>
      <c r="B137" t="s">
        <v>776</v>
      </c>
      <c r="C137">
        <v>4.7</v>
      </c>
      <c r="D137">
        <v>312</v>
      </c>
      <c r="E137" t="s">
        <v>22</v>
      </c>
      <c r="F137" s="1"/>
      <c r="G137" t="s">
        <v>1104</v>
      </c>
      <c r="H137" t="s">
        <v>772</v>
      </c>
      <c r="I137">
        <v>10.723496799999999</v>
      </c>
      <c r="J137">
        <v>106.7281066</v>
      </c>
      <c r="K137" t="s">
        <v>1128</v>
      </c>
      <c r="L137" t="s">
        <v>1264</v>
      </c>
      <c r="M137" t="s">
        <v>1138</v>
      </c>
      <c r="N137" t="s">
        <v>1157</v>
      </c>
      <c r="O137">
        <v>7</v>
      </c>
      <c r="P137" t="s">
        <v>1178</v>
      </c>
      <c r="Q137" t="s">
        <v>1179</v>
      </c>
      <c r="R137" t="s">
        <v>1180</v>
      </c>
    </row>
    <row r="138" spans="1:18">
      <c r="A138" t="s">
        <v>871</v>
      </c>
      <c r="B138" t="s">
        <v>872</v>
      </c>
      <c r="C138">
        <v>4.2</v>
      </c>
      <c r="D138">
        <v>276</v>
      </c>
      <c r="E138" t="s">
        <v>22</v>
      </c>
      <c r="F138" s="1">
        <v>0.33333333333333331</v>
      </c>
      <c r="G138" t="s">
        <v>1113</v>
      </c>
      <c r="H138" t="s">
        <v>877</v>
      </c>
      <c r="I138">
        <v>10.718044799999999</v>
      </c>
      <c r="J138">
        <v>106.7297147</v>
      </c>
      <c r="K138" t="s">
        <v>1128</v>
      </c>
      <c r="L138" t="s">
        <v>1264</v>
      </c>
      <c r="M138" t="s">
        <v>1138</v>
      </c>
      <c r="N138" t="s">
        <v>1155</v>
      </c>
      <c r="O138">
        <v>8</v>
      </c>
      <c r="P138" t="s">
        <v>1178</v>
      </c>
      <c r="Q138" t="s">
        <v>1198</v>
      </c>
      <c r="R138" t="s">
        <v>1180</v>
      </c>
    </row>
    <row r="139" spans="1:18">
      <c r="A139" t="s">
        <v>805</v>
      </c>
      <c r="B139" t="s">
        <v>806</v>
      </c>
      <c r="C139">
        <v>4.7</v>
      </c>
      <c r="D139">
        <v>252</v>
      </c>
      <c r="E139" t="s">
        <v>22</v>
      </c>
      <c r="F139" s="1">
        <v>0.41666666666666669</v>
      </c>
      <c r="G139" t="s">
        <v>1108</v>
      </c>
      <c r="H139" t="s">
        <v>809</v>
      </c>
      <c r="I139">
        <v>10.730053399999999</v>
      </c>
      <c r="J139">
        <v>106.7094791</v>
      </c>
      <c r="K139" t="s">
        <v>1128</v>
      </c>
      <c r="L139" t="s">
        <v>1263</v>
      </c>
      <c r="M139" t="s">
        <v>1138</v>
      </c>
      <c r="N139" t="s">
        <v>1155</v>
      </c>
      <c r="O139">
        <v>9</v>
      </c>
      <c r="P139" t="s">
        <v>1181</v>
      </c>
      <c r="Q139" t="s">
        <v>1179</v>
      </c>
      <c r="R139" t="s">
        <v>1180</v>
      </c>
    </row>
    <row r="140" spans="1:18">
      <c r="A140" t="s">
        <v>878</v>
      </c>
      <c r="B140" t="s">
        <v>879</v>
      </c>
      <c r="C140">
        <v>4.7</v>
      </c>
      <c r="D140">
        <v>226</v>
      </c>
      <c r="E140" t="s">
        <v>34</v>
      </c>
      <c r="F140" s="1">
        <v>0.35416666666666669</v>
      </c>
      <c r="G140" t="s">
        <v>1114</v>
      </c>
      <c r="H140" t="s">
        <v>880</v>
      </c>
      <c r="I140">
        <v>10.720801700000001</v>
      </c>
      <c r="J140">
        <v>106.7272066</v>
      </c>
      <c r="K140" t="s">
        <v>1128</v>
      </c>
      <c r="L140" t="s">
        <v>1264</v>
      </c>
      <c r="M140" t="s">
        <v>1156</v>
      </c>
      <c r="N140" t="s">
        <v>1155</v>
      </c>
      <c r="O140">
        <v>10</v>
      </c>
      <c r="P140" t="s">
        <v>1178</v>
      </c>
      <c r="Q140" t="s">
        <v>1179</v>
      </c>
      <c r="R140" t="s">
        <v>1180</v>
      </c>
    </row>
    <row r="141" spans="1:18">
      <c r="A141" t="s">
        <v>770</v>
      </c>
      <c r="B141" t="s">
        <v>771</v>
      </c>
      <c r="C141">
        <v>5</v>
      </c>
      <c r="D141">
        <v>56</v>
      </c>
      <c r="E141" t="s">
        <v>18</v>
      </c>
      <c r="F141" s="1"/>
      <c r="G141" t="s">
        <v>1103</v>
      </c>
      <c r="H141" t="s">
        <v>772</v>
      </c>
      <c r="I141">
        <v>10.723496000000001</v>
      </c>
      <c r="J141">
        <v>106.7280633</v>
      </c>
      <c r="K141" t="s">
        <v>1128</v>
      </c>
      <c r="L141" t="s">
        <v>1264</v>
      </c>
      <c r="M141" t="s">
        <v>1157</v>
      </c>
      <c r="N141" t="s">
        <v>1157</v>
      </c>
      <c r="O141">
        <v>12</v>
      </c>
      <c r="P141" t="s">
        <v>1191</v>
      </c>
      <c r="Q141" t="s">
        <v>1179</v>
      </c>
      <c r="R141" t="s">
        <v>1135</v>
      </c>
    </row>
    <row r="142" spans="1:18">
      <c r="A142" t="s">
        <v>821</v>
      </c>
      <c r="B142" t="s">
        <v>822</v>
      </c>
      <c r="C142">
        <v>5</v>
      </c>
      <c r="D142">
        <v>6</v>
      </c>
      <c r="E142" t="s">
        <v>18</v>
      </c>
      <c r="F142" s="1"/>
      <c r="G142" t="s">
        <v>1111</v>
      </c>
      <c r="H142" t="s">
        <v>823</v>
      </c>
      <c r="I142">
        <v>10.733362700000001</v>
      </c>
      <c r="J142">
        <v>106.7068561</v>
      </c>
      <c r="K142" t="s">
        <v>1128</v>
      </c>
      <c r="L142" t="s">
        <v>1266</v>
      </c>
      <c r="M142" t="s">
        <v>1157</v>
      </c>
      <c r="N142" t="s">
        <v>1157</v>
      </c>
      <c r="O142">
        <v>17</v>
      </c>
      <c r="P142" t="s">
        <v>1181</v>
      </c>
      <c r="Q142" t="s">
        <v>1179</v>
      </c>
      <c r="R142" t="s">
        <v>1180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9151-A286-4D24-8B6E-C6E3EBB0A836}">
  <sheetPr>
    <tabColor theme="5" tint="0.79998168889431442"/>
  </sheetPr>
  <dimension ref="A1:C19"/>
  <sheetViews>
    <sheetView workbookViewId="0">
      <selection activeCell="B23" sqref="B23"/>
    </sheetView>
  </sheetViews>
  <sheetFormatPr defaultRowHeight="15"/>
  <cols>
    <col min="1" max="1" width="30.42578125" bestFit="1" customWidth="1"/>
    <col min="2" max="2" width="18.42578125" bestFit="1" customWidth="1"/>
    <col min="3" max="3" width="77.85546875" bestFit="1" customWidth="1"/>
  </cols>
  <sheetData>
    <row r="1" spans="1:3">
      <c r="A1" s="52" t="s">
        <v>1729</v>
      </c>
      <c r="B1" s="52" t="s">
        <v>1730</v>
      </c>
      <c r="C1" s="52" t="s">
        <v>1731</v>
      </c>
    </row>
    <row r="2" spans="1:3">
      <c r="A2" s="51" t="s">
        <v>1008</v>
      </c>
      <c r="B2" s="51" t="s">
        <v>1732</v>
      </c>
      <c r="C2" s="51" t="s">
        <v>1733</v>
      </c>
    </row>
    <row r="3" spans="1:3">
      <c r="A3" s="51" t="s">
        <v>1009</v>
      </c>
      <c r="B3" s="51" t="s">
        <v>1734</v>
      </c>
      <c r="C3" s="51" t="s">
        <v>1735</v>
      </c>
    </row>
    <row r="4" spans="1:3">
      <c r="A4" s="51" t="s">
        <v>1010</v>
      </c>
      <c r="B4" s="51" t="s">
        <v>1736</v>
      </c>
      <c r="C4" s="51" t="s">
        <v>1737</v>
      </c>
    </row>
    <row r="5" spans="1:3">
      <c r="A5" s="51" t="s">
        <v>1011</v>
      </c>
      <c r="B5" s="51" t="s">
        <v>1738</v>
      </c>
      <c r="C5" s="51" t="s">
        <v>1739</v>
      </c>
    </row>
    <row r="6" spans="1:3">
      <c r="A6" s="51" t="s">
        <v>1129</v>
      </c>
      <c r="B6" s="51" t="s">
        <v>1740</v>
      </c>
      <c r="C6" s="51" t="s">
        <v>1741</v>
      </c>
    </row>
    <row r="7" spans="1:3">
      <c r="A7" s="51" t="s">
        <v>1012</v>
      </c>
      <c r="B7" s="51" t="s">
        <v>1742</v>
      </c>
      <c r="C7" s="51" t="s">
        <v>1743</v>
      </c>
    </row>
    <row r="8" spans="1:3">
      <c r="A8" s="51" t="s">
        <v>1144</v>
      </c>
      <c r="B8" s="51" t="s">
        <v>1734</v>
      </c>
      <c r="C8" s="51" t="s">
        <v>1744</v>
      </c>
    </row>
    <row r="9" spans="1:3">
      <c r="A9" s="51" t="s">
        <v>1152</v>
      </c>
      <c r="B9" s="51" t="s">
        <v>1734</v>
      </c>
      <c r="C9" s="51" t="s">
        <v>1745</v>
      </c>
    </row>
    <row r="10" spans="1:3">
      <c r="A10" s="51" t="s">
        <v>1150</v>
      </c>
      <c r="B10" s="51" t="s">
        <v>1736</v>
      </c>
      <c r="C10" s="51" t="s">
        <v>1746</v>
      </c>
    </row>
    <row r="11" spans="1:3">
      <c r="A11" s="51" t="s">
        <v>1151</v>
      </c>
      <c r="B11" s="51" t="s">
        <v>1736</v>
      </c>
      <c r="C11" s="51" t="s">
        <v>1747</v>
      </c>
    </row>
    <row r="12" spans="1:3">
      <c r="A12" s="51" t="s">
        <v>1224</v>
      </c>
      <c r="B12" s="51" t="s">
        <v>1686</v>
      </c>
      <c r="C12" s="51" t="s">
        <v>1748</v>
      </c>
    </row>
    <row r="13" spans="1:3">
      <c r="A13" s="51" t="s">
        <v>1247</v>
      </c>
      <c r="B13" s="51" t="s">
        <v>1686</v>
      </c>
      <c r="C13" s="51" t="s">
        <v>1749</v>
      </c>
    </row>
    <row r="14" spans="1:3">
      <c r="A14" s="51" t="s">
        <v>1153</v>
      </c>
      <c r="B14" s="51" t="s">
        <v>1686</v>
      </c>
      <c r="C14" s="51" t="s">
        <v>1750</v>
      </c>
    </row>
    <row r="15" spans="1:3">
      <c r="A15" s="51" t="s">
        <v>1154</v>
      </c>
      <c r="B15" s="51" t="s">
        <v>1686</v>
      </c>
      <c r="C15" s="51" t="s">
        <v>1751</v>
      </c>
    </row>
    <row r="16" spans="1:3">
      <c r="A16" s="51" t="s">
        <v>1175</v>
      </c>
      <c r="B16" s="51" t="s">
        <v>1738</v>
      </c>
      <c r="C16" s="51" t="s">
        <v>1752</v>
      </c>
    </row>
    <row r="17" spans="1:3">
      <c r="A17" s="51" t="s">
        <v>1686</v>
      </c>
      <c r="B17" s="51" t="s">
        <v>1686</v>
      </c>
      <c r="C17" s="51" t="s">
        <v>1753</v>
      </c>
    </row>
    <row r="18" spans="1:3">
      <c r="A18" s="51" t="s">
        <v>1242</v>
      </c>
      <c r="B18" s="51" t="s">
        <v>1686</v>
      </c>
      <c r="C18" s="51" t="s">
        <v>1754</v>
      </c>
    </row>
    <row r="19" spans="1:3">
      <c r="A19" s="51" t="s">
        <v>1243</v>
      </c>
      <c r="B19" s="51" t="s">
        <v>1755</v>
      </c>
      <c r="C19" s="51" t="s">
        <v>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59C1-1962-4E08-AE48-0EC12A760A67}">
  <sheetPr>
    <tabColor theme="7" tint="0.79998168889431442"/>
  </sheetPr>
  <dimension ref="A1:D6"/>
  <sheetViews>
    <sheetView workbookViewId="0">
      <selection activeCell="B19" sqref="B19"/>
    </sheetView>
  </sheetViews>
  <sheetFormatPr defaultRowHeight="15"/>
  <cols>
    <col min="1" max="1" width="22.140625" customWidth="1"/>
    <col min="2" max="2" width="51" customWidth="1"/>
    <col min="3" max="3" width="36.140625" customWidth="1"/>
    <col min="4" max="4" width="24.42578125" customWidth="1"/>
  </cols>
  <sheetData>
    <row r="1" spans="1:4">
      <c r="A1" s="17" t="s">
        <v>1224</v>
      </c>
      <c r="B1" s="17" t="s">
        <v>1316</v>
      </c>
      <c r="C1" s="17" t="s">
        <v>1317</v>
      </c>
      <c r="D1" s="17" t="s">
        <v>1318</v>
      </c>
    </row>
    <row r="2" spans="1:4" ht="30">
      <c r="A2" s="15" t="s">
        <v>1123</v>
      </c>
      <c r="B2" s="16" t="s">
        <v>1328</v>
      </c>
      <c r="C2" s="16" t="s">
        <v>1329</v>
      </c>
      <c r="D2" s="15" t="s">
        <v>1330</v>
      </c>
    </row>
    <row r="3" spans="1:4" ht="30">
      <c r="A3" s="15" t="s">
        <v>1314</v>
      </c>
      <c r="B3" s="16" t="s">
        <v>1322</v>
      </c>
      <c r="C3" s="16" t="s">
        <v>1323</v>
      </c>
      <c r="D3" s="15" t="s">
        <v>1324</v>
      </c>
    </row>
    <row r="4" spans="1:4" ht="30">
      <c r="A4" s="15" t="s">
        <v>1125</v>
      </c>
      <c r="B4" s="16" t="s">
        <v>1331</v>
      </c>
      <c r="C4" s="16" t="s">
        <v>1332</v>
      </c>
      <c r="D4" s="15" t="s">
        <v>1327</v>
      </c>
    </row>
    <row r="5" spans="1:4" ht="30">
      <c r="A5" s="15" t="s">
        <v>1128</v>
      </c>
      <c r="B5" s="16" t="s">
        <v>1319</v>
      </c>
      <c r="C5" s="16" t="s">
        <v>1320</v>
      </c>
      <c r="D5" s="15" t="s">
        <v>1321</v>
      </c>
    </row>
    <row r="6" spans="1:4" ht="30">
      <c r="A6" s="15" t="s">
        <v>1124</v>
      </c>
      <c r="B6" s="16" t="s">
        <v>1325</v>
      </c>
      <c r="C6" s="16" t="s">
        <v>1326</v>
      </c>
      <c r="D6" s="15" t="s">
        <v>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CC01-FDA7-4C5B-93CC-8F6D1A5882D2}">
  <sheetPr>
    <tabColor theme="7" tint="0.79998168889431442"/>
  </sheetPr>
  <dimension ref="A2:W25"/>
  <sheetViews>
    <sheetView zoomScale="80" zoomScaleNormal="80" workbookViewId="0">
      <selection activeCell="H20" sqref="H20"/>
    </sheetView>
  </sheetViews>
  <sheetFormatPr defaultRowHeight="15"/>
  <cols>
    <col min="1" max="1" width="14.140625" bestFit="1" customWidth="1"/>
    <col min="2" max="2" width="15.7109375" bestFit="1" customWidth="1"/>
    <col min="3" max="3" width="3.140625" customWidth="1"/>
    <col min="4" max="4" width="14.140625" bestFit="1" customWidth="1"/>
    <col min="5" max="5" width="21.140625" bestFit="1" customWidth="1"/>
    <col min="6" max="6" width="3.5703125" customWidth="1"/>
    <col min="7" max="7" width="21" bestFit="1" customWidth="1"/>
    <col min="8" max="8" width="22.42578125" bestFit="1" customWidth="1"/>
    <col min="9" max="9" width="19" bestFit="1" customWidth="1"/>
    <col min="10" max="10" width="26" bestFit="1" customWidth="1"/>
    <col min="11" max="11" width="28.85546875" bestFit="1" customWidth="1"/>
    <col min="12" max="12" width="16.140625" bestFit="1" customWidth="1"/>
    <col min="13" max="13" width="30.140625" bestFit="1" customWidth="1"/>
    <col min="14" max="14" width="23" customWidth="1"/>
    <col min="15" max="15" width="3.42578125" customWidth="1"/>
    <col min="16" max="16" width="11" bestFit="1" customWidth="1"/>
    <col min="17" max="17" width="21.140625" bestFit="1" customWidth="1"/>
    <col min="18" max="18" width="7.42578125" customWidth="1"/>
    <col min="19" max="19" width="28.5703125" bestFit="1" customWidth="1"/>
    <col min="20" max="20" width="16.42578125" bestFit="1" customWidth="1"/>
    <col min="21" max="23" width="32" customWidth="1"/>
    <col min="24" max="24" width="9.140625" customWidth="1"/>
  </cols>
  <sheetData>
    <row r="2" spans="1:23">
      <c r="A2" s="8" t="s">
        <v>1312</v>
      </c>
      <c r="D2" s="8" t="s">
        <v>1313</v>
      </c>
      <c r="G2" s="8" t="s">
        <v>1168</v>
      </c>
      <c r="P2" s="8" t="s">
        <v>1177</v>
      </c>
      <c r="S2" s="8" t="s">
        <v>1677</v>
      </c>
    </row>
    <row r="4" spans="1:23">
      <c r="A4" s="2" t="s">
        <v>1162</v>
      </c>
      <c r="B4" t="s">
        <v>1166</v>
      </c>
      <c r="D4" s="2" t="s">
        <v>1162</v>
      </c>
      <c r="E4" t="s">
        <v>1167</v>
      </c>
      <c r="G4" s="9" t="s">
        <v>1162</v>
      </c>
      <c r="H4" s="9" t="s">
        <v>1680</v>
      </c>
      <c r="I4" s="9" t="s">
        <v>1679</v>
      </c>
      <c r="J4" s="9" t="s">
        <v>1170</v>
      </c>
      <c r="K4" s="9" t="s">
        <v>1333</v>
      </c>
      <c r="L4" s="9" t="s">
        <v>1173</v>
      </c>
      <c r="M4" s="9" t="s">
        <v>1682</v>
      </c>
      <c r="N4" s="9" t="s">
        <v>1681</v>
      </c>
      <c r="P4" s="2" t="s">
        <v>1175</v>
      </c>
      <c r="Q4" t="s">
        <v>1176</v>
      </c>
      <c r="S4" t="s">
        <v>1224</v>
      </c>
      <c r="T4" t="s">
        <v>1247</v>
      </c>
      <c r="U4" t="s">
        <v>1166</v>
      </c>
      <c r="V4" t="s">
        <v>1167</v>
      </c>
      <c r="W4" t="s">
        <v>1170</v>
      </c>
    </row>
    <row r="5" spans="1:23">
      <c r="A5" s="3" t="s">
        <v>1124</v>
      </c>
      <c r="B5" s="49">
        <v>9</v>
      </c>
      <c r="D5" s="3" t="s">
        <v>1124</v>
      </c>
      <c r="E5" s="4">
        <v>9.3107706603738974E-3</v>
      </c>
      <c r="G5" t="s">
        <v>1123</v>
      </c>
      <c r="H5">
        <f>COUNTIF('Cleaned Table'!K:K,Location!G5)</f>
        <v>73</v>
      </c>
      <c r="I5">
        <f>SUMIF('Cleaned Table'!K:K,Location!G5,'Cleaned Table'!D:D)</f>
        <v>128619</v>
      </c>
      <c r="J5" s="6">
        <f>I5/H5</f>
        <v>1761.9041095890411</v>
      </c>
      <c r="K5" s="6">
        <f>Location!I10/Location!H10</f>
        <v>1160.0992907801419</v>
      </c>
      <c r="L5" s="6">
        <f>AVERAGEIF('Cleaned Table'!K:K,G5,'Cleaned Table'!C:C)</f>
        <v>4.7054794520547958</v>
      </c>
      <c r="M5" s="10">
        <f>_xlfn.XLOOKUP(G5,Location!$P$7:$P$11,Location!$Q$7:$Q$11)</f>
        <v>55042</v>
      </c>
      <c r="N5" s="11">
        <f>M5/I5</f>
        <v>0.4279461043858217</v>
      </c>
      <c r="S5" s="46" t="s">
        <v>1124</v>
      </c>
      <c r="T5" t="s">
        <v>1258</v>
      </c>
      <c r="U5">
        <f>COUNTIF('Cleaned Table'!L:L,Location!T5)</f>
        <v>1</v>
      </c>
      <c r="V5">
        <f>SUMIF('Cleaned Table'!L:L,Location!T5,'Cleaned Table'!D:D)</f>
        <v>2</v>
      </c>
      <c r="W5">
        <f t="shared" ref="W5:W25" si="0">V5/U5</f>
        <v>2</v>
      </c>
    </row>
    <row r="6" spans="1:23">
      <c r="A6" s="3" t="s">
        <v>1128</v>
      </c>
      <c r="B6" s="49">
        <v>12</v>
      </c>
      <c r="D6" s="3" t="s">
        <v>1128</v>
      </c>
      <c r="E6" s="4">
        <v>2.9148886742391824E-2</v>
      </c>
      <c r="G6" t="s">
        <v>1314</v>
      </c>
      <c r="H6">
        <f>COUNTIF('Cleaned Table'!K:K,Location!G6)</f>
        <v>33</v>
      </c>
      <c r="I6">
        <f>SUMIF('Cleaned Table'!K:K,Location!G6,'Cleaned Table'!D:D)</f>
        <v>14747</v>
      </c>
      <c r="J6" s="6">
        <f>I6/H6</f>
        <v>446.87878787878788</v>
      </c>
      <c r="K6" s="6">
        <f>$K$5</f>
        <v>1160.0992907801419</v>
      </c>
      <c r="L6" s="6">
        <f>AVERAGEIF('Cleaned Table'!K:K,G6,'Cleaned Table'!C:C)</f>
        <v>4.7272727272727275</v>
      </c>
      <c r="M6" s="10">
        <f>_xlfn.XLOOKUP(G6,Location!$P$7:$P$11,Location!$Q$7:$Q$11)</f>
        <v>6625</v>
      </c>
      <c r="N6" s="11">
        <f>M6/I6</f>
        <v>0.44924391401641012</v>
      </c>
      <c r="P6" s="2" t="s">
        <v>1224</v>
      </c>
      <c r="Q6" t="s">
        <v>1167</v>
      </c>
      <c r="S6" s="46"/>
      <c r="T6" t="s">
        <v>1257</v>
      </c>
      <c r="U6">
        <f>COUNTIF('Cleaned Table'!L:L,Location!T6)</f>
        <v>5</v>
      </c>
      <c r="V6">
        <f>SUMIF('Cleaned Table'!L:L,Location!T6,'Cleaned Table'!D:D)</f>
        <v>1355</v>
      </c>
      <c r="W6">
        <f t="shared" si="0"/>
        <v>271</v>
      </c>
    </row>
    <row r="7" spans="1:23">
      <c r="A7" s="3" t="s">
        <v>1125</v>
      </c>
      <c r="B7" s="49">
        <v>14</v>
      </c>
      <c r="D7" s="3" t="s">
        <v>1125</v>
      </c>
      <c r="E7" s="4">
        <v>8.5080758555760694E-2</v>
      </c>
      <c r="G7" t="s">
        <v>1125</v>
      </c>
      <c r="H7">
        <f>COUNTIF('Cleaned Table'!K:K,Location!G7)</f>
        <v>14</v>
      </c>
      <c r="I7">
        <f>SUMIF('Cleaned Table'!K:K,Location!G7,'Cleaned Table'!D:D)</f>
        <v>13917</v>
      </c>
      <c r="J7" s="6">
        <f>I7/H7</f>
        <v>994.07142857142856</v>
      </c>
      <c r="K7" s="6">
        <f>$K$5</f>
        <v>1160.0992907801419</v>
      </c>
      <c r="L7" s="6">
        <f>AVERAGEIF('Cleaned Table'!K:K,G7,'Cleaned Table'!C:C)</f>
        <v>4.6357142857142852</v>
      </c>
      <c r="M7" s="10">
        <f>_xlfn.XLOOKUP(G7,Location!$P$7:$P$11,Location!$Q$7:$Q$11)</f>
        <v>10354</v>
      </c>
      <c r="N7" s="11">
        <f>M7/I7</f>
        <v>0.74398218006754324</v>
      </c>
      <c r="P7" t="s">
        <v>1124</v>
      </c>
      <c r="Q7" s="49">
        <v>1166</v>
      </c>
      <c r="S7" s="46"/>
      <c r="T7" t="s">
        <v>1259</v>
      </c>
      <c r="U7">
        <f>COUNTIF('Cleaned Table'!L:L,Location!T7)</f>
        <v>3</v>
      </c>
      <c r="V7">
        <f>SUMIF('Cleaned Table'!L:L,Location!T7,'Cleaned Table'!D:D)</f>
        <v>166</v>
      </c>
      <c r="W7">
        <f t="shared" si="0"/>
        <v>55.333333333333336</v>
      </c>
    </row>
    <row r="8" spans="1:23">
      <c r="A8" s="3" t="s">
        <v>1314</v>
      </c>
      <c r="B8" s="49">
        <v>33</v>
      </c>
      <c r="D8" s="3" t="s">
        <v>1314</v>
      </c>
      <c r="E8" s="4">
        <v>9.0154914595229077E-2</v>
      </c>
      <c r="G8" t="s">
        <v>1128</v>
      </c>
      <c r="H8">
        <f>COUNTIF('Cleaned Table'!K:K,Location!G8)</f>
        <v>12</v>
      </c>
      <c r="I8">
        <f>SUMIF('Cleaned Table'!K:K,Location!G8,'Cleaned Table'!D:D)</f>
        <v>4768</v>
      </c>
      <c r="J8" s="6">
        <f>I8/H8</f>
        <v>397.33333333333331</v>
      </c>
      <c r="K8" s="6">
        <f>$K$5</f>
        <v>1160.0992907801419</v>
      </c>
      <c r="L8" s="6">
        <f>AVERAGEIF('Cleaned Table'!K:K,G8,'Cleaned Table'!C:C)</f>
        <v>4.7083333333333348</v>
      </c>
      <c r="M8" s="10">
        <f>_xlfn.XLOOKUP(G8,Location!$P$7:$P$11,Location!$Q$7:$Q$11)</f>
        <v>3270</v>
      </c>
      <c r="N8" s="11">
        <f>M8/I8</f>
        <v>0.68582214765100669</v>
      </c>
      <c r="P8" t="s">
        <v>1123</v>
      </c>
      <c r="Q8" s="49">
        <v>55042</v>
      </c>
      <c r="S8" s="46" t="s">
        <v>1123</v>
      </c>
      <c r="T8" t="s">
        <v>1252</v>
      </c>
      <c r="U8">
        <f>COUNTIF('Cleaned Table'!L:L,Location!T8)</f>
        <v>40</v>
      </c>
      <c r="V8">
        <f>SUMIF('Cleaned Table'!L:L,Location!T8,'Cleaned Table'!D:D)</f>
        <v>45173</v>
      </c>
      <c r="W8">
        <f t="shared" si="0"/>
        <v>1129.325</v>
      </c>
    </row>
    <row r="9" spans="1:23">
      <c r="A9" s="3" t="s">
        <v>1123</v>
      </c>
      <c r="B9" s="49">
        <v>73</v>
      </c>
      <c r="D9" s="3" t="s">
        <v>1123</v>
      </c>
      <c r="E9" s="4">
        <v>0.78630466944624455</v>
      </c>
      <c r="G9" t="s">
        <v>1124</v>
      </c>
      <c r="H9">
        <f>COUNTIF('Cleaned Table'!K:K,Location!G9)</f>
        <v>9</v>
      </c>
      <c r="I9">
        <f>SUMIF('Cleaned Table'!K:K,Location!G9,'Cleaned Table'!D:D)</f>
        <v>1523</v>
      </c>
      <c r="J9" s="6">
        <f>I9/H9</f>
        <v>169.22222222222223</v>
      </c>
      <c r="K9" s="6">
        <f>$K$5</f>
        <v>1160.0992907801419</v>
      </c>
      <c r="L9" s="6">
        <f>AVERAGEIF('Cleaned Table'!K:K,G9,'Cleaned Table'!C:C)</f>
        <v>4.5999999999999996</v>
      </c>
      <c r="M9" s="10">
        <f>_xlfn.XLOOKUP(G9,Location!$P$7:$P$11,Location!$Q$7:$Q$11)</f>
        <v>1166</v>
      </c>
      <c r="N9" s="11">
        <f>M9/I9</f>
        <v>0.7655942219304005</v>
      </c>
      <c r="P9" t="s">
        <v>1125</v>
      </c>
      <c r="Q9" s="49">
        <v>10354</v>
      </c>
      <c r="S9" s="46"/>
      <c r="T9" t="s">
        <v>1248</v>
      </c>
      <c r="U9">
        <f>COUNTIF('Cleaned Table'!L:L,Location!T9)</f>
        <v>7</v>
      </c>
      <c r="V9">
        <f>SUMIF('Cleaned Table'!L:L,Location!T9,'Cleaned Table'!D:D)</f>
        <v>37723</v>
      </c>
      <c r="W9">
        <f t="shared" si="0"/>
        <v>5389</v>
      </c>
    </row>
    <row r="10" spans="1:23">
      <c r="A10" s="3" t="s">
        <v>1163</v>
      </c>
      <c r="B10" s="49">
        <v>141</v>
      </c>
      <c r="D10" s="3" t="s">
        <v>1163</v>
      </c>
      <c r="E10" s="4">
        <v>1</v>
      </c>
      <c r="H10">
        <f>SUM(Location!H5:H9)</f>
        <v>141</v>
      </c>
      <c r="I10">
        <f>SUM(Location!I5:I9)</f>
        <v>163574</v>
      </c>
      <c r="P10" t="s">
        <v>1128</v>
      </c>
      <c r="Q10" s="49">
        <v>3270</v>
      </c>
      <c r="S10" s="46"/>
      <c r="T10" t="s">
        <v>1255</v>
      </c>
      <c r="U10">
        <f>COUNTIF('Cleaned Table'!L:L,Location!T10)</f>
        <v>1</v>
      </c>
      <c r="V10">
        <f>SUMIF('Cleaned Table'!L:L,Location!T10,'Cleaned Table'!D:D)</f>
        <v>453</v>
      </c>
      <c r="W10">
        <f t="shared" si="0"/>
        <v>453</v>
      </c>
    </row>
    <row r="11" spans="1:23">
      <c r="P11" t="s">
        <v>1314</v>
      </c>
      <c r="Q11" s="49">
        <v>6625</v>
      </c>
      <c r="S11" s="46"/>
      <c r="T11" t="s">
        <v>1254</v>
      </c>
      <c r="U11">
        <f>COUNTIF('Cleaned Table'!L:L,Location!T11)</f>
        <v>1</v>
      </c>
      <c r="V11">
        <f>SUMIF('Cleaned Table'!L:L,Location!T11,'Cleaned Table'!D:D)</f>
        <v>641</v>
      </c>
      <c r="W11">
        <f t="shared" si="0"/>
        <v>641</v>
      </c>
    </row>
    <row r="12" spans="1:23">
      <c r="S12" s="46"/>
      <c r="T12" t="s">
        <v>1253</v>
      </c>
      <c r="U12">
        <f>COUNTIF('Cleaned Table'!L:L,Location!T12)</f>
        <v>13</v>
      </c>
      <c r="V12">
        <f>SUMIF('Cleaned Table'!L:L,Location!T12,'Cleaned Table'!D:D)</f>
        <v>9068</v>
      </c>
      <c r="W12">
        <f t="shared" si="0"/>
        <v>697.53846153846155</v>
      </c>
    </row>
    <row r="13" spans="1:23">
      <c r="S13" s="46"/>
      <c r="T13" t="s">
        <v>1251</v>
      </c>
      <c r="U13">
        <f>COUNTIF('Cleaned Table'!L:L,Location!T13)</f>
        <v>2</v>
      </c>
      <c r="V13">
        <f>SUMIF('Cleaned Table'!L:L,Location!T13,'Cleaned Table'!D:D)</f>
        <v>3054</v>
      </c>
      <c r="W13">
        <f t="shared" si="0"/>
        <v>1527</v>
      </c>
    </row>
    <row r="14" spans="1:23">
      <c r="S14" s="46"/>
      <c r="T14" t="s">
        <v>1249</v>
      </c>
      <c r="U14">
        <f>COUNTIF('Cleaned Table'!L:L,Location!T14)</f>
        <v>6</v>
      </c>
      <c r="V14">
        <f>SUMIF('Cleaned Table'!L:L,Location!T14,'Cleaned Table'!D:D)</f>
        <v>28493</v>
      </c>
      <c r="W14">
        <f t="shared" si="0"/>
        <v>4748.833333333333</v>
      </c>
    </row>
    <row r="15" spans="1:23">
      <c r="S15" s="46"/>
      <c r="T15" t="s">
        <v>1250</v>
      </c>
      <c r="U15">
        <f>COUNTIF('Cleaned Table'!L:L,Location!T15)</f>
        <v>3</v>
      </c>
      <c r="V15">
        <f>SUMIF('Cleaned Table'!L:L,Location!T15,'Cleaned Table'!D:D)</f>
        <v>4014</v>
      </c>
      <c r="W15">
        <f t="shared" si="0"/>
        <v>1338</v>
      </c>
    </row>
    <row r="16" spans="1:23">
      <c r="S16" s="46" t="s">
        <v>1125</v>
      </c>
      <c r="T16" t="s">
        <v>1260</v>
      </c>
      <c r="U16">
        <f>COUNTIF('Cleaned Table'!L:L,Location!T16)</f>
        <v>11</v>
      </c>
      <c r="V16">
        <f>SUMIF('Cleaned Table'!L:L,Location!T16,'Cleaned Table'!D:D)</f>
        <v>13590</v>
      </c>
      <c r="W16">
        <f t="shared" si="0"/>
        <v>1235.4545454545455</v>
      </c>
    </row>
    <row r="17" spans="19:23">
      <c r="S17" s="46"/>
      <c r="T17" t="s">
        <v>1261</v>
      </c>
      <c r="U17">
        <f>COUNTIF('Cleaned Table'!L:L,Location!T17)</f>
        <v>1</v>
      </c>
      <c r="V17">
        <f>SUMIF('Cleaned Table'!L:L,Location!T17,'Cleaned Table'!D:D)</f>
        <v>186</v>
      </c>
      <c r="W17">
        <f t="shared" si="0"/>
        <v>186</v>
      </c>
    </row>
    <row r="18" spans="19:23">
      <c r="S18" s="46"/>
      <c r="T18" t="s">
        <v>1634</v>
      </c>
      <c r="U18">
        <f>COUNTIF('Cleaned Table'!L:L,Location!T18)</f>
        <v>1</v>
      </c>
      <c r="V18">
        <f>SUMIF('Cleaned Table'!L:L,Location!T18,'Cleaned Table'!D:D)</f>
        <v>90</v>
      </c>
      <c r="W18">
        <f t="shared" si="0"/>
        <v>90</v>
      </c>
    </row>
    <row r="19" spans="19:23">
      <c r="S19" s="46"/>
      <c r="T19" t="s">
        <v>1638</v>
      </c>
      <c r="U19">
        <f>COUNTIF('Cleaned Table'!L:L,Location!T19)</f>
        <v>1</v>
      </c>
      <c r="V19">
        <f>SUMIF('Cleaned Table'!L:L,Location!T19,'Cleaned Table'!D:D)</f>
        <v>51</v>
      </c>
      <c r="W19">
        <f t="shared" si="0"/>
        <v>51</v>
      </c>
    </row>
    <row r="20" spans="19:23">
      <c r="S20" s="46" t="s">
        <v>1128</v>
      </c>
      <c r="T20" t="s">
        <v>1265</v>
      </c>
      <c r="U20">
        <f>COUNTIF('Cleaned Table'!L:L,Location!T20)</f>
        <v>1</v>
      </c>
      <c r="V20">
        <f>SUMIF('Cleaned Table'!L:L,Location!T20,'Cleaned Table'!D:D)</f>
        <v>686</v>
      </c>
      <c r="W20">
        <f t="shared" si="0"/>
        <v>686</v>
      </c>
    </row>
    <row r="21" spans="19:23">
      <c r="S21" s="46"/>
      <c r="T21" t="s">
        <v>1263</v>
      </c>
      <c r="U21">
        <f>COUNTIF('Cleaned Table'!L:L,Location!T21)</f>
        <v>4</v>
      </c>
      <c r="V21">
        <f>SUMIF('Cleaned Table'!L:L,Location!T21,'Cleaned Table'!D:D)</f>
        <v>2048</v>
      </c>
      <c r="W21">
        <f t="shared" si="0"/>
        <v>512</v>
      </c>
    </row>
    <row r="22" spans="19:23">
      <c r="S22" s="46"/>
      <c r="T22" t="s">
        <v>1264</v>
      </c>
      <c r="U22">
        <f>COUNTIF('Cleaned Table'!L:L,Location!T22)</f>
        <v>5</v>
      </c>
      <c r="V22">
        <f>SUMIF('Cleaned Table'!L:L,Location!T22,'Cleaned Table'!D:D)</f>
        <v>1608</v>
      </c>
      <c r="W22">
        <f t="shared" si="0"/>
        <v>321.60000000000002</v>
      </c>
    </row>
    <row r="23" spans="19:23">
      <c r="S23" s="46"/>
      <c r="T23" t="s">
        <v>1266</v>
      </c>
      <c r="U23">
        <f>COUNTIF('Cleaned Table'!L:L,Location!T23)</f>
        <v>2</v>
      </c>
      <c r="V23">
        <f>SUMIF('Cleaned Table'!L:L,Location!T23,'Cleaned Table'!D:D)</f>
        <v>426</v>
      </c>
      <c r="W23">
        <f t="shared" si="0"/>
        <v>213</v>
      </c>
    </row>
    <row r="24" spans="19:23">
      <c r="S24" s="46" t="s">
        <v>1314</v>
      </c>
      <c r="T24" t="s">
        <v>1256</v>
      </c>
      <c r="U24">
        <f>COUNTIF('Cleaned Table'!L:L,Location!T24)</f>
        <v>28</v>
      </c>
      <c r="V24">
        <f>SUMIF('Cleaned Table'!L:L,Location!T24,'Cleaned Table'!D:D)</f>
        <v>13473</v>
      </c>
      <c r="W24">
        <f t="shared" si="0"/>
        <v>481.17857142857144</v>
      </c>
    </row>
    <row r="25" spans="19:23">
      <c r="S25" s="46"/>
      <c r="T25" t="s">
        <v>1262</v>
      </c>
      <c r="U25">
        <f>COUNTIF('Cleaned Table'!L:L,Location!T25)</f>
        <v>5</v>
      </c>
      <c r="V25">
        <f>SUMIF('Cleaned Table'!L:L,Location!T25,'Cleaned Table'!D:D)</f>
        <v>1274</v>
      </c>
      <c r="W25">
        <f t="shared" si="0"/>
        <v>254.8</v>
      </c>
    </row>
  </sheetData>
  <mergeCells count="5">
    <mergeCell ref="S5:S7"/>
    <mergeCell ref="S8:S15"/>
    <mergeCell ref="S16:S19"/>
    <mergeCell ref="S20:S23"/>
    <mergeCell ref="S24:S25"/>
  </mergeCells>
  <conditionalFormatting sqref="S5 S8 S16 S20 S24">
    <cfRule type="colorScale" priority="1">
      <colorScale>
        <cfvo type="min"/>
        <cfvo type="max"/>
        <color rgb="FFFCFCFF"/>
        <color rgb="FF63BE7B"/>
      </colorScale>
    </cfRule>
  </conditionalFormatting>
  <conditionalFormatting sqref="W5:W2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1BAD-C98D-4E0E-A553-C907962030E1}">
  <sheetPr>
    <tabColor theme="7" tint="0.79998168889431442"/>
  </sheetPr>
  <dimension ref="A2:P32"/>
  <sheetViews>
    <sheetView zoomScale="80" zoomScaleNormal="80" workbookViewId="0">
      <selection activeCell="H20" sqref="H20"/>
    </sheetView>
  </sheetViews>
  <sheetFormatPr defaultRowHeight="15"/>
  <cols>
    <col min="1" max="1" width="9.85546875" bestFit="1" customWidth="1"/>
    <col min="2" max="2" width="17.42578125" bestFit="1" customWidth="1"/>
    <col min="3" max="3" width="8.42578125" bestFit="1" customWidth="1"/>
    <col min="4" max="4" width="9.42578125" bestFit="1" customWidth="1"/>
    <col min="5" max="5" width="3.28515625" customWidth="1"/>
    <col min="6" max="6" width="25.5703125" bestFit="1" customWidth="1"/>
    <col min="7" max="7" width="17.42578125" bestFit="1" customWidth="1"/>
    <col min="8" max="8" width="8.42578125" bestFit="1" customWidth="1"/>
    <col min="9" max="9" width="9.42578125" bestFit="1" customWidth="1"/>
    <col min="10" max="10" width="3.28515625" customWidth="1"/>
    <col min="11" max="11" width="25.5703125" bestFit="1" customWidth="1"/>
    <col min="12" max="12" width="16.42578125" bestFit="1" customWidth="1"/>
    <col min="13" max="13" width="15.7109375" bestFit="1" customWidth="1"/>
    <col min="14" max="14" width="8.42578125" bestFit="1" customWidth="1"/>
    <col min="15" max="15" width="9.42578125" bestFit="1" customWidth="1"/>
    <col min="16" max="16" width="8" bestFit="1" customWidth="1"/>
  </cols>
  <sheetData>
    <row r="2" spans="1:16">
      <c r="A2" s="8" t="s">
        <v>1678</v>
      </c>
      <c r="F2" s="8" t="s">
        <v>1334</v>
      </c>
      <c r="K2" s="8" t="s">
        <v>1169</v>
      </c>
    </row>
    <row r="4" spans="1:16">
      <c r="B4" s="2" t="s">
        <v>1172</v>
      </c>
      <c r="F4" s="2" t="s">
        <v>1164</v>
      </c>
      <c r="G4" s="2" t="s">
        <v>1172</v>
      </c>
      <c r="K4" s="2" t="s">
        <v>1164</v>
      </c>
      <c r="M4" s="2" t="s">
        <v>1153</v>
      </c>
    </row>
    <row r="5" spans="1:16">
      <c r="A5" s="2" t="s">
        <v>1687</v>
      </c>
      <c r="B5" t="s">
        <v>1142</v>
      </c>
      <c r="C5" t="s">
        <v>1138</v>
      </c>
      <c r="D5" t="s">
        <v>1156</v>
      </c>
      <c r="F5" s="2" t="s">
        <v>1162</v>
      </c>
      <c r="G5" t="s">
        <v>1142</v>
      </c>
      <c r="H5" t="s">
        <v>1138</v>
      </c>
      <c r="I5" t="s">
        <v>1156</v>
      </c>
      <c r="K5" s="2" t="s">
        <v>1224</v>
      </c>
      <c r="L5" s="2" t="s">
        <v>1247</v>
      </c>
      <c r="M5" t="s">
        <v>1142</v>
      </c>
      <c r="N5" t="s">
        <v>1138</v>
      </c>
      <c r="O5" t="s">
        <v>1156</v>
      </c>
      <c r="P5" t="s">
        <v>1157</v>
      </c>
    </row>
    <row r="6" spans="1:16">
      <c r="A6" s="3" t="s">
        <v>1688</v>
      </c>
      <c r="B6" s="4">
        <v>0.15151515151515152</v>
      </c>
      <c r="C6" s="4">
        <v>0.47727272727272729</v>
      </c>
      <c r="D6" s="4">
        <v>0.37121212121212122</v>
      </c>
      <c r="F6" s="3" t="s">
        <v>1123</v>
      </c>
      <c r="G6" s="49">
        <v>6</v>
      </c>
      <c r="H6" s="49">
        <v>28</v>
      </c>
      <c r="I6" s="49">
        <v>34</v>
      </c>
      <c r="K6" t="s">
        <v>1124</v>
      </c>
      <c r="L6" t="s">
        <v>1258</v>
      </c>
      <c r="M6" s="49"/>
      <c r="N6" s="49">
        <v>1</v>
      </c>
      <c r="O6" s="49"/>
      <c r="P6" s="49"/>
    </row>
    <row r="7" spans="1:16">
      <c r="A7" s="3" t="s">
        <v>1689</v>
      </c>
      <c r="B7" s="4">
        <v>3.3984765666769404E-2</v>
      </c>
      <c r="C7" s="4">
        <v>0.61612247850399104</v>
      </c>
      <c r="D7" s="4">
        <v>0.34989275582923962</v>
      </c>
      <c r="F7" s="3" t="s">
        <v>1314</v>
      </c>
      <c r="G7" s="49">
        <v>6</v>
      </c>
      <c r="H7" s="49">
        <v>17</v>
      </c>
      <c r="I7" s="49">
        <v>10</v>
      </c>
      <c r="K7" t="s">
        <v>1124</v>
      </c>
      <c r="L7" t="s">
        <v>1257</v>
      </c>
      <c r="M7" s="49"/>
      <c r="N7" s="49">
        <v>5</v>
      </c>
      <c r="O7" s="49"/>
      <c r="P7" s="49"/>
    </row>
    <row r="8" spans="1:16">
      <c r="F8" s="3" t="s">
        <v>1125</v>
      </c>
      <c r="G8" s="49">
        <v>6</v>
      </c>
      <c r="H8" s="49">
        <v>5</v>
      </c>
      <c r="I8" s="49">
        <v>3</v>
      </c>
      <c r="K8" t="s">
        <v>1124</v>
      </c>
      <c r="L8" t="s">
        <v>1259</v>
      </c>
      <c r="M8" s="49">
        <v>2</v>
      </c>
      <c r="N8" s="49">
        <v>1</v>
      </c>
      <c r="O8" s="49"/>
      <c r="P8" s="49"/>
    </row>
    <row r="9" spans="1:16">
      <c r="F9" s="3" t="s">
        <v>1128</v>
      </c>
      <c r="G9" s="49"/>
      <c r="H9" s="49">
        <v>6</v>
      </c>
      <c r="I9" s="49">
        <v>2</v>
      </c>
      <c r="K9" s="14" t="s">
        <v>1308</v>
      </c>
      <c r="L9" s="14"/>
      <c r="M9" s="50">
        <v>2</v>
      </c>
      <c r="N9" s="50">
        <v>7</v>
      </c>
      <c r="O9" s="50"/>
      <c r="P9" s="50"/>
    </row>
    <row r="10" spans="1:16">
      <c r="F10" s="3" t="s">
        <v>1124</v>
      </c>
      <c r="G10" s="49">
        <v>2</v>
      </c>
      <c r="H10" s="49">
        <v>7</v>
      </c>
      <c r="I10" s="49"/>
      <c r="K10" t="s">
        <v>1123</v>
      </c>
      <c r="L10" t="s">
        <v>1252</v>
      </c>
      <c r="M10" s="49">
        <v>3</v>
      </c>
      <c r="N10" s="49">
        <v>9</v>
      </c>
      <c r="O10" s="49">
        <v>25</v>
      </c>
      <c r="P10" s="49">
        <v>3</v>
      </c>
    </row>
    <row r="11" spans="1:16">
      <c r="F11" s="3" t="s">
        <v>1163</v>
      </c>
      <c r="G11" s="49">
        <v>20</v>
      </c>
      <c r="H11" s="49">
        <v>63</v>
      </c>
      <c r="I11" s="49">
        <v>49</v>
      </c>
      <c r="K11" t="s">
        <v>1123</v>
      </c>
      <c r="L11" t="s">
        <v>1248</v>
      </c>
      <c r="M11" s="49"/>
      <c r="N11" s="49">
        <v>6</v>
      </c>
      <c r="O11" s="49">
        <v>1</v>
      </c>
      <c r="P11" s="49"/>
    </row>
    <row r="12" spans="1:16">
      <c r="K12" t="s">
        <v>1123</v>
      </c>
      <c r="L12" t="s">
        <v>1255</v>
      </c>
      <c r="M12" s="49"/>
      <c r="N12" s="49">
        <v>1</v>
      </c>
      <c r="O12" s="49"/>
      <c r="P12" s="49"/>
    </row>
    <row r="13" spans="1:16">
      <c r="K13" t="s">
        <v>1123</v>
      </c>
      <c r="L13" t="s">
        <v>1254</v>
      </c>
      <c r="M13" s="49"/>
      <c r="N13" s="49">
        <v>1</v>
      </c>
      <c r="O13" s="49"/>
      <c r="P13" s="49"/>
    </row>
    <row r="14" spans="1:16">
      <c r="K14" t="s">
        <v>1123</v>
      </c>
      <c r="L14" t="s">
        <v>1253</v>
      </c>
      <c r="M14" s="49">
        <v>2</v>
      </c>
      <c r="N14" s="49">
        <v>5</v>
      </c>
      <c r="O14" s="49">
        <v>4</v>
      </c>
      <c r="P14" s="49">
        <v>2</v>
      </c>
    </row>
    <row r="15" spans="1:16">
      <c r="K15" t="s">
        <v>1123</v>
      </c>
      <c r="L15" t="s">
        <v>1251</v>
      </c>
      <c r="M15" s="49"/>
      <c r="N15" s="49">
        <v>1</v>
      </c>
      <c r="O15" s="49">
        <v>1</v>
      </c>
      <c r="P15" s="49"/>
    </row>
    <row r="16" spans="1:16">
      <c r="K16" t="s">
        <v>1123</v>
      </c>
      <c r="L16" t="s">
        <v>1249</v>
      </c>
      <c r="M16" s="49">
        <v>1</v>
      </c>
      <c r="N16" s="49">
        <v>3</v>
      </c>
      <c r="O16" s="49">
        <v>2</v>
      </c>
      <c r="P16" s="49"/>
    </row>
    <row r="17" spans="11:16">
      <c r="K17" t="s">
        <v>1123</v>
      </c>
      <c r="L17" t="s">
        <v>1250</v>
      </c>
      <c r="M17" s="49"/>
      <c r="N17" s="49">
        <v>2</v>
      </c>
      <c r="O17" s="49">
        <v>1</v>
      </c>
      <c r="P17" s="49"/>
    </row>
    <row r="18" spans="11:16">
      <c r="K18" s="14" t="s">
        <v>1309</v>
      </c>
      <c r="L18" s="14"/>
      <c r="M18" s="50">
        <v>6</v>
      </c>
      <c r="N18" s="50">
        <v>28</v>
      </c>
      <c r="O18" s="50">
        <v>34</v>
      </c>
      <c r="P18" s="50">
        <v>5</v>
      </c>
    </row>
    <row r="19" spans="11:16">
      <c r="K19" t="s">
        <v>1125</v>
      </c>
      <c r="L19" t="s">
        <v>1260</v>
      </c>
      <c r="M19" s="49">
        <v>3</v>
      </c>
      <c r="N19" s="49">
        <v>5</v>
      </c>
      <c r="O19" s="49">
        <v>3</v>
      </c>
      <c r="P19" s="49"/>
    </row>
    <row r="20" spans="11:16">
      <c r="K20" t="s">
        <v>1125</v>
      </c>
      <c r="L20" t="s">
        <v>1261</v>
      </c>
      <c r="M20" s="49">
        <v>1</v>
      </c>
      <c r="N20" s="49"/>
      <c r="O20" s="49"/>
      <c r="P20" s="49"/>
    </row>
    <row r="21" spans="11:16">
      <c r="K21" t="s">
        <v>1125</v>
      </c>
      <c r="L21" t="s">
        <v>1634</v>
      </c>
      <c r="M21" s="49">
        <v>1</v>
      </c>
      <c r="N21" s="49"/>
      <c r="O21" s="49"/>
      <c r="P21" s="49"/>
    </row>
    <row r="22" spans="11:16">
      <c r="K22" t="s">
        <v>1125</v>
      </c>
      <c r="L22" t="s">
        <v>1638</v>
      </c>
      <c r="M22" s="49">
        <v>1</v>
      </c>
      <c r="N22" s="49"/>
      <c r="O22" s="49"/>
      <c r="P22" s="49"/>
    </row>
    <row r="23" spans="11:16">
      <c r="K23" s="14" t="s">
        <v>1310</v>
      </c>
      <c r="L23" s="14"/>
      <c r="M23" s="50">
        <v>6</v>
      </c>
      <c r="N23" s="50">
        <v>5</v>
      </c>
      <c r="O23" s="50">
        <v>3</v>
      </c>
      <c r="P23" s="50"/>
    </row>
    <row r="24" spans="11:16">
      <c r="K24" t="s">
        <v>1128</v>
      </c>
      <c r="L24" t="s">
        <v>1265</v>
      </c>
      <c r="M24" s="49"/>
      <c r="N24" s="49">
        <v>1</v>
      </c>
      <c r="O24" s="49"/>
      <c r="P24" s="49"/>
    </row>
    <row r="25" spans="11:16">
      <c r="K25" t="s">
        <v>1128</v>
      </c>
      <c r="L25" t="s">
        <v>1263</v>
      </c>
      <c r="M25" s="49"/>
      <c r="N25" s="49">
        <v>2</v>
      </c>
      <c r="O25" s="49"/>
      <c r="P25" s="49">
        <v>2</v>
      </c>
    </row>
    <row r="26" spans="11:16">
      <c r="K26" t="s">
        <v>1128</v>
      </c>
      <c r="L26" t="s">
        <v>1264</v>
      </c>
      <c r="M26" s="49"/>
      <c r="N26" s="49">
        <v>2</v>
      </c>
      <c r="O26" s="49">
        <v>2</v>
      </c>
      <c r="P26" s="49">
        <v>1</v>
      </c>
    </row>
    <row r="27" spans="11:16">
      <c r="K27" t="s">
        <v>1128</v>
      </c>
      <c r="L27" t="s">
        <v>1266</v>
      </c>
      <c r="M27" s="49"/>
      <c r="N27" s="49">
        <v>1</v>
      </c>
      <c r="O27" s="49"/>
      <c r="P27" s="49">
        <v>1</v>
      </c>
    </row>
    <row r="28" spans="11:16">
      <c r="K28" s="14" t="s">
        <v>1311</v>
      </c>
      <c r="L28" s="14"/>
      <c r="M28" s="50"/>
      <c r="N28" s="50">
        <v>6</v>
      </c>
      <c r="O28" s="50">
        <v>2</v>
      </c>
      <c r="P28" s="50">
        <v>4</v>
      </c>
    </row>
    <row r="29" spans="11:16">
      <c r="K29" t="s">
        <v>1314</v>
      </c>
      <c r="L29" t="s">
        <v>1262</v>
      </c>
      <c r="M29" s="49">
        <v>3</v>
      </c>
      <c r="N29" s="49">
        <v>2</v>
      </c>
      <c r="O29" s="49"/>
      <c r="P29" s="49"/>
    </row>
    <row r="30" spans="11:16">
      <c r="K30" t="s">
        <v>1314</v>
      </c>
      <c r="L30" t="s">
        <v>1256</v>
      </c>
      <c r="M30" s="49">
        <v>3</v>
      </c>
      <c r="N30" s="49">
        <v>15</v>
      </c>
      <c r="O30" s="49">
        <v>10</v>
      </c>
      <c r="P30" s="49"/>
    </row>
    <row r="31" spans="11:16">
      <c r="K31" s="14" t="s">
        <v>1315</v>
      </c>
      <c r="L31" s="14"/>
      <c r="M31" s="50">
        <v>6</v>
      </c>
      <c r="N31" s="50">
        <v>17</v>
      </c>
      <c r="O31" s="50">
        <v>10</v>
      </c>
      <c r="P31" s="50"/>
    </row>
    <row r="32" spans="11:16">
      <c r="K32" t="s">
        <v>1163</v>
      </c>
      <c r="M32" s="49">
        <v>20</v>
      </c>
      <c r="N32" s="49">
        <v>63</v>
      </c>
      <c r="O32" s="49">
        <v>49</v>
      </c>
      <c r="P32" s="49">
        <v>9</v>
      </c>
    </row>
  </sheetData>
  <conditionalFormatting pivot="1" sqref="G6:I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A410-E966-4728-8B68-31B7349B74C0}">
  <sheetPr>
    <tabColor theme="7" tint="0.79998168889431442"/>
  </sheetPr>
  <dimension ref="A2:AC12"/>
  <sheetViews>
    <sheetView zoomScale="80" zoomScaleNormal="80" workbookViewId="0">
      <selection activeCell="K12" sqref="K12"/>
    </sheetView>
  </sheetViews>
  <sheetFormatPr defaultRowHeight="15"/>
  <cols>
    <col min="1" max="1" width="40.140625" bestFit="1" customWidth="1"/>
    <col min="2" max="2" width="10" bestFit="1" customWidth="1"/>
    <col min="3" max="3" width="12.42578125" bestFit="1" customWidth="1"/>
    <col min="4" max="4" width="4.28515625" customWidth="1"/>
    <col min="5" max="5" width="40.140625" bestFit="1" customWidth="1"/>
    <col min="6" max="6" width="17.42578125" bestFit="1" customWidth="1"/>
    <col min="7" max="9" width="9.42578125" bestFit="1" customWidth="1"/>
    <col min="10" max="10" width="10.85546875" bestFit="1" customWidth="1"/>
    <col min="11" max="11" width="11.28515625" bestFit="1" customWidth="1"/>
    <col min="12" max="12" width="4.42578125" customWidth="1"/>
    <col min="13" max="13" width="40.140625" bestFit="1" customWidth="1"/>
    <col min="14" max="14" width="17.42578125" bestFit="1" customWidth="1"/>
    <col min="15" max="15" width="8.42578125" bestFit="1" customWidth="1"/>
    <col min="16" max="16" width="9.42578125" bestFit="1" customWidth="1"/>
    <col min="17" max="17" width="11.28515625" bestFit="1" customWidth="1"/>
    <col min="18" max="18" width="4.140625" customWidth="1"/>
    <col min="19" max="19" width="14.140625" bestFit="1" customWidth="1"/>
    <col min="20" max="20" width="25.5703125" bestFit="1" customWidth="1"/>
    <col min="21" max="21" width="4.28515625" bestFit="1" customWidth="1"/>
    <col min="22" max="22" width="25.5703125" bestFit="1" customWidth="1"/>
    <col min="23" max="23" width="17.42578125" bestFit="1" customWidth="1"/>
    <col min="24" max="24" width="7.7109375" bestFit="1" customWidth="1"/>
    <col min="25" max="25" width="8.140625" bestFit="1" customWidth="1"/>
    <col min="26" max="26" width="25.5703125" bestFit="1" customWidth="1"/>
    <col min="27" max="27" width="17.42578125" bestFit="1" customWidth="1"/>
    <col min="28" max="28" width="4.42578125" bestFit="1" customWidth="1"/>
    <col min="29" max="31" width="11.28515625" bestFit="1" customWidth="1"/>
    <col min="32" max="34" width="10.28515625" bestFit="1" customWidth="1"/>
    <col min="35" max="35" width="7.28515625" bestFit="1" customWidth="1"/>
    <col min="36" max="36" width="11.28515625" bestFit="1" customWidth="1"/>
  </cols>
  <sheetData>
    <row r="2" spans="1:29">
      <c r="A2" s="8" t="s">
        <v>1724</v>
      </c>
      <c r="E2" s="8" t="s">
        <v>1725</v>
      </c>
      <c r="M2" s="8" t="s">
        <v>1726</v>
      </c>
      <c r="S2" s="8" t="s">
        <v>1244</v>
      </c>
      <c r="V2" s="8" t="s">
        <v>1245</v>
      </c>
      <c r="Z2" s="8" t="s">
        <v>1246</v>
      </c>
    </row>
    <row r="4" spans="1:29">
      <c r="A4" s="2" t="s">
        <v>1162</v>
      </c>
      <c r="B4" t="s">
        <v>1685</v>
      </c>
      <c r="C4" t="s">
        <v>1684</v>
      </c>
      <c r="E4" s="2" t="s">
        <v>1164</v>
      </c>
      <c r="F4" s="2" t="s">
        <v>1172</v>
      </c>
      <c r="M4" s="2" t="s">
        <v>1164</v>
      </c>
      <c r="N4" s="2" t="s">
        <v>1172</v>
      </c>
      <c r="S4" s="2" t="s">
        <v>1162</v>
      </c>
      <c r="T4" t="s">
        <v>1164</v>
      </c>
      <c r="V4" s="2" t="s">
        <v>1164</v>
      </c>
      <c r="W4" s="2" t="s">
        <v>1172</v>
      </c>
      <c r="Z4" s="2" t="s">
        <v>1164</v>
      </c>
      <c r="AA4" s="2" t="s">
        <v>1172</v>
      </c>
    </row>
    <row r="5" spans="1:29">
      <c r="A5" s="3" t="s">
        <v>1185</v>
      </c>
      <c r="B5" s="4">
        <v>5.0619291574455598E-3</v>
      </c>
      <c r="C5" s="4">
        <v>2.1276595744680851E-2</v>
      </c>
      <c r="E5" s="2" t="s">
        <v>1162</v>
      </c>
      <c r="F5" t="s">
        <v>1123</v>
      </c>
      <c r="G5" t="s">
        <v>1314</v>
      </c>
      <c r="H5" t="s">
        <v>1125</v>
      </c>
      <c r="I5" t="s">
        <v>1128</v>
      </c>
      <c r="J5" t="s">
        <v>1124</v>
      </c>
      <c r="K5" t="s">
        <v>1163</v>
      </c>
      <c r="M5" s="2" t="s">
        <v>1162</v>
      </c>
      <c r="N5" t="s">
        <v>1142</v>
      </c>
      <c r="O5" t="s">
        <v>1138</v>
      </c>
      <c r="P5" t="s">
        <v>1156</v>
      </c>
      <c r="Q5" t="s">
        <v>1163</v>
      </c>
      <c r="S5" s="3" t="s">
        <v>1180</v>
      </c>
      <c r="T5" s="4">
        <v>0.78014184397163122</v>
      </c>
      <c r="V5" s="2" t="s">
        <v>1162</v>
      </c>
      <c r="W5" t="s">
        <v>1180</v>
      </c>
      <c r="X5" t="s">
        <v>1135</v>
      </c>
      <c r="Z5" s="2" t="s">
        <v>1162</v>
      </c>
      <c r="AA5" t="s">
        <v>1180</v>
      </c>
      <c r="AB5" t="s">
        <v>1135</v>
      </c>
      <c r="AC5" t="s">
        <v>1163</v>
      </c>
    </row>
    <row r="6" spans="1:29">
      <c r="A6" s="3" t="s">
        <v>1189</v>
      </c>
      <c r="B6" s="4">
        <v>0.11900424272806191</v>
      </c>
      <c r="C6" s="4">
        <v>4.2553191489361701E-2</v>
      </c>
      <c r="E6" s="3" t="s">
        <v>1181</v>
      </c>
      <c r="F6" s="49">
        <v>37</v>
      </c>
      <c r="G6" s="49">
        <v>12</v>
      </c>
      <c r="H6" s="49">
        <v>2</v>
      </c>
      <c r="I6" s="49">
        <v>3</v>
      </c>
      <c r="J6" s="49">
        <v>1</v>
      </c>
      <c r="K6" s="49">
        <v>55</v>
      </c>
      <c r="M6" s="3" t="s">
        <v>1181</v>
      </c>
      <c r="N6" s="49">
        <v>5</v>
      </c>
      <c r="O6" s="49">
        <v>19</v>
      </c>
      <c r="P6" s="49">
        <v>24</v>
      </c>
      <c r="Q6" s="49">
        <v>48</v>
      </c>
      <c r="S6" s="3" t="s">
        <v>1135</v>
      </c>
      <c r="T6" s="4">
        <v>0.21985815602836881</v>
      </c>
      <c r="V6" s="3" t="s">
        <v>1124</v>
      </c>
      <c r="W6" s="4">
        <v>0.66666666666666663</v>
      </c>
      <c r="X6" s="4">
        <v>0.33333333333333331</v>
      </c>
      <c r="Z6" s="3" t="s">
        <v>1142</v>
      </c>
      <c r="AA6" s="49">
        <v>17</v>
      </c>
      <c r="AB6" s="49">
        <v>3</v>
      </c>
      <c r="AC6" s="49">
        <v>20</v>
      </c>
    </row>
    <row r="7" spans="1:29">
      <c r="A7" s="3" t="s">
        <v>1187</v>
      </c>
      <c r="B7" s="4">
        <v>4.8320637754166312E-2</v>
      </c>
      <c r="C7" s="4">
        <v>9.2198581560283682E-2</v>
      </c>
      <c r="E7" s="3" t="s">
        <v>1178</v>
      </c>
      <c r="F7" s="49">
        <v>12</v>
      </c>
      <c r="G7" s="49">
        <v>9</v>
      </c>
      <c r="H7" s="49">
        <v>4</v>
      </c>
      <c r="I7" s="49">
        <v>5</v>
      </c>
      <c r="J7" s="49">
        <v>4</v>
      </c>
      <c r="K7" s="49">
        <v>34</v>
      </c>
      <c r="M7" s="3" t="s">
        <v>1178</v>
      </c>
      <c r="N7" s="49">
        <v>5</v>
      </c>
      <c r="O7" s="49">
        <v>20</v>
      </c>
      <c r="P7" s="49">
        <v>9</v>
      </c>
      <c r="Q7" s="49">
        <v>34</v>
      </c>
      <c r="S7" s="3" t="s">
        <v>1163</v>
      </c>
      <c r="T7" s="4">
        <v>1</v>
      </c>
      <c r="V7" s="3" t="s">
        <v>1123</v>
      </c>
      <c r="W7" s="4">
        <v>0.86301369863013699</v>
      </c>
      <c r="X7" s="4">
        <v>0.13698630136986301</v>
      </c>
      <c r="Z7" s="3" t="s">
        <v>1138</v>
      </c>
      <c r="AA7" s="49">
        <v>48</v>
      </c>
      <c r="AB7" s="49">
        <v>15</v>
      </c>
      <c r="AC7" s="49">
        <v>63</v>
      </c>
    </row>
    <row r="8" spans="1:29">
      <c r="A8" s="3" t="s">
        <v>1191</v>
      </c>
      <c r="B8" s="4">
        <v>0.13207477961045153</v>
      </c>
      <c r="C8" s="4">
        <v>0.21276595744680851</v>
      </c>
      <c r="E8" s="3" t="s">
        <v>1191</v>
      </c>
      <c r="F8" s="49">
        <v>9</v>
      </c>
      <c r="G8" s="49">
        <v>9</v>
      </c>
      <c r="H8" s="49">
        <v>5</v>
      </c>
      <c r="I8" s="49">
        <v>4</v>
      </c>
      <c r="J8" s="49">
        <v>3</v>
      </c>
      <c r="K8" s="49">
        <v>30</v>
      </c>
      <c r="M8" s="3" t="s">
        <v>1191</v>
      </c>
      <c r="N8" s="49">
        <v>3</v>
      </c>
      <c r="O8" s="49">
        <v>14</v>
      </c>
      <c r="P8" s="49">
        <v>11</v>
      </c>
      <c r="Q8" s="49">
        <v>28</v>
      </c>
      <c r="V8" s="3" t="s">
        <v>1125</v>
      </c>
      <c r="W8" s="4">
        <v>0.6428571428571429</v>
      </c>
      <c r="X8" s="4">
        <v>0.35714285714285715</v>
      </c>
      <c r="Z8" s="3" t="s">
        <v>1156</v>
      </c>
      <c r="AA8" s="49">
        <v>38</v>
      </c>
      <c r="AB8" s="49">
        <v>11</v>
      </c>
      <c r="AC8" s="49">
        <v>49</v>
      </c>
    </row>
    <row r="9" spans="1:29">
      <c r="A9" s="3" t="s">
        <v>1178</v>
      </c>
      <c r="B9" s="4">
        <v>0.25407460843410323</v>
      </c>
      <c r="C9" s="4">
        <v>0.24113475177304963</v>
      </c>
      <c r="E9" s="3" t="s">
        <v>1187</v>
      </c>
      <c r="F9" s="49">
        <v>8</v>
      </c>
      <c r="G9" s="49">
        <v>2</v>
      </c>
      <c r="H9" s="49">
        <v>2</v>
      </c>
      <c r="I9" s="49"/>
      <c r="J9" s="49">
        <v>1</v>
      </c>
      <c r="K9" s="49">
        <v>13</v>
      </c>
      <c r="M9" s="3" t="s">
        <v>1187</v>
      </c>
      <c r="N9" s="49">
        <v>4</v>
      </c>
      <c r="O9" s="49">
        <v>5</v>
      </c>
      <c r="P9" s="49">
        <v>4</v>
      </c>
      <c r="Q9" s="49">
        <v>13</v>
      </c>
      <c r="V9" s="3" t="s">
        <v>1128</v>
      </c>
      <c r="W9" s="4">
        <v>0.66666666666666663</v>
      </c>
      <c r="X9" s="4">
        <v>0.33333333333333331</v>
      </c>
      <c r="Z9" s="3" t="s">
        <v>1157</v>
      </c>
      <c r="AA9" s="49">
        <v>7</v>
      </c>
      <c r="AB9" s="49">
        <v>2</v>
      </c>
      <c r="AC9" s="49">
        <v>9</v>
      </c>
    </row>
    <row r="10" spans="1:29">
      <c r="A10" s="3" t="s">
        <v>1181</v>
      </c>
      <c r="B10" s="4">
        <v>0.44146380231577148</v>
      </c>
      <c r="C10" s="4">
        <v>0.39007092198581561</v>
      </c>
      <c r="E10" s="3" t="s">
        <v>1189</v>
      </c>
      <c r="F10" s="49">
        <v>4</v>
      </c>
      <c r="G10" s="49">
        <v>1</v>
      </c>
      <c r="H10" s="49">
        <v>1</v>
      </c>
      <c r="I10" s="49"/>
      <c r="J10" s="49"/>
      <c r="K10" s="49">
        <v>6</v>
      </c>
      <c r="M10" s="3" t="s">
        <v>1189</v>
      </c>
      <c r="N10" s="49">
        <v>2</v>
      </c>
      <c r="O10" s="49">
        <v>4</v>
      </c>
      <c r="P10" s="49"/>
      <c r="Q10" s="49">
        <v>6</v>
      </c>
      <c r="V10" s="3" t="s">
        <v>1314</v>
      </c>
      <c r="W10" s="4">
        <v>0.72727272727272729</v>
      </c>
      <c r="X10" s="4">
        <v>0.27272727272727271</v>
      </c>
      <c r="Z10" s="3" t="s">
        <v>1163</v>
      </c>
      <c r="AA10" s="49">
        <v>110</v>
      </c>
      <c r="AB10" s="49">
        <v>31</v>
      </c>
      <c r="AC10" s="49">
        <v>141</v>
      </c>
    </row>
    <row r="11" spans="1:29">
      <c r="A11" s="3" t="s">
        <v>1163</v>
      </c>
      <c r="B11" s="4">
        <v>1</v>
      </c>
      <c r="C11" s="4">
        <v>1</v>
      </c>
      <c r="E11" s="3" t="s">
        <v>1185</v>
      </c>
      <c r="F11" s="49">
        <v>3</v>
      </c>
      <c r="G11" s="49"/>
      <c r="H11" s="49"/>
      <c r="I11" s="49"/>
      <c r="J11" s="49"/>
      <c r="K11" s="49">
        <v>3</v>
      </c>
      <c r="M11" s="3" t="s">
        <v>1185</v>
      </c>
      <c r="N11" s="49">
        <v>1</v>
      </c>
      <c r="O11" s="49">
        <v>1</v>
      </c>
      <c r="P11" s="49">
        <v>1</v>
      </c>
      <c r="Q11" s="49">
        <v>3</v>
      </c>
      <c r="V11" s="3" t="s">
        <v>1163</v>
      </c>
      <c r="W11" s="4">
        <v>0.78014184397163122</v>
      </c>
      <c r="X11" s="4">
        <v>0.21985815602836881</v>
      </c>
    </row>
    <row r="12" spans="1:29">
      <c r="E12" s="3" t="s">
        <v>1163</v>
      </c>
      <c r="F12" s="49">
        <v>73</v>
      </c>
      <c r="G12" s="49">
        <v>33</v>
      </c>
      <c r="H12" s="49">
        <v>14</v>
      </c>
      <c r="I12" s="49">
        <v>12</v>
      </c>
      <c r="J12" s="49">
        <v>9</v>
      </c>
      <c r="K12" s="49">
        <v>141</v>
      </c>
      <c r="M12" s="3" t="s">
        <v>1163</v>
      </c>
      <c r="N12" s="49">
        <v>20</v>
      </c>
      <c r="O12" s="49">
        <v>63</v>
      </c>
      <c r="P12" s="49">
        <v>49</v>
      </c>
      <c r="Q12" s="49">
        <v>132</v>
      </c>
    </row>
  </sheetData>
  <conditionalFormatting pivot="1" sqref="AA6:AB9">
    <cfRule type="colorScale" priority="13">
      <colorScale>
        <cfvo type="min"/>
        <cfvo type="max"/>
        <color rgb="FFFCFCFF"/>
        <color rgb="FF63BE7B"/>
      </colorScale>
    </cfRule>
  </conditionalFormatting>
  <conditionalFormatting pivot="1" sqref="F6:J11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N6:P1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BF69-154D-404D-95AF-92F146951017}">
  <sheetPr>
    <tabColor theme="7" tint="0.79998168889431442"/>
  </sheetPr>
  <dimension ref="A2:O24"/>
  <sheetViews>
    <sheetView zoomScale="80" zoomScaleNormal="80" workbookViewId="0">
      <selection activeCell="J31" sqref="J31"/>
    </sheetView>
  </sheetViews>
  <sheetFormatPr defaultRowHeight="15"/>
  <cols>
    <col min="1" max="1" width="14.140625" bestFit="1" customWidth="1"/>
    <col min="2" max="2" width="21.140625" bestFit="1" customWidth="1"/>
    <col min="3" max="3" width="3.28515625" customWidth="1"/>
    <col min="4" max="4" width="14.140625" bestFit="1" customWidth="1"/>
    <col min="5" max="5" width="25.5703125" bestFit="1" customWidth="1"/>
    <col min="6" max="6" width="3.5703125" customWidth="1"/>
    <col min="7" max="7" width="25.5703125" bestFit="1" customWidth="1"/>
    <col min="8" max="8" width="17.42578125" bestFit="1" customWidth="1"/>
    <col min="9" max="9" width="6.5703125" bestFit="1" customWidth="1"/>
    <col min="10" max="10" width="10" bestFit="1" customWidth="1"/>
    <col min="11" max="11" width="6" bestFit="1" customWidth="1"/>
    <col min="12" max="12" width="8" bestFit="1" customWidth="1"/>
    <col min="13" max="13" width="3.28515625" customWidth="1"/>
    <col min="14" max="14" width="15" bestFit="1" customWidth="1"/>
    <col min="15" max="15" width="25.5703125" bestFit="1" customWidth="1"/>
  </cols>
  <sheetData>
    <row r="2" spans="1:15">
      <c r="A2" s="8" t="s">
        <v>1171</v>
      </c>
      <c r="D2" s="8" t="s">
        <v>1683</v>
      </c>
      <c r="G2" s="8" t="s">
        <v>1716</v>
      </c>
      <c r="N2" s="8" t="s">
        <v>1683</v>
      </c>
    </row>
    <row r="4" spans="1:15">
      <c r="A4" t="s">
        <v>1165</v>
      </c>
      <c r="B4" s="5">
        <f>AVERAGE('Cleaned Table'!C:C)</f>
        <v>4.6971631205673745</v>
      </c>
      <c r="D4" s="2" t="s">
        <v>1162</v>
      </c>
      <c r="E4" t="s">
        <v>1164</v>
      </c>
      <c r="G4" s="2" t="s">
        <v>1164</v>
      </c>
      <c r="H4" s="2" t="s">
        <v>1172</v>
      </c>
      <c r="N4" s="2" t="s">
        <v>1162</v>
      </c>
      <c r="O4" t="s">
        <v>1164</v>
      </c>
    </row>
    <row r="5" spans="1:15">
      <c r="A5" t="s">
        <v>1570</v>
      </c>
      <c r="B5" s="5">
        <f>_xlfn.MODE.SNGL('Cleaned Table'!C:C)</f>
        <v>4.9000000000000004</v>
      </c>
      <c r="D5" s="3" t="s">
        <v>1155</v>
      </c>
      <c r="E5" s="4">
        <v>0.77011494252873558</v>
      </c>
      <c r="G5" s="2" t="s">
        <v>1162</v>
      </c>
      <c r="H5" t="s">
        <v>1155</v>
      </c>
      <c r="I5" t="s">
        <v>1158</v>
      </c>
      <c r="J5" t="s">
        <v>1160</v>
      </c>
      <c r="K5" t="s">
        <v>1159</v>
      </c>
      <c r="L5" t="s">
        <v>1157</v>
      </c>
      <c r="N5" s="3" t="s">
        <v>1155</v>
      </c>
      <c r="O5" s="4">
        <v>0.77011494252873558</v>
      </c>
    </row>
    <row r="6" spans="1:15">
      <c r="A6" t="s">
        <v>1174</v>
      </c>
      <c r="B6" s="5">
        <f>SUMPRODUCT(A9:A18,B9:B18)/SUM(B9:B18)</f>
        <v>4.7153031655397557</v>
      </c>
      <c r="D6" s="3" t="s">
        <v>1158</v>
      </c>
      <c r="E6" s="4">
        <v>9.1954022988505746E-2</v>
      </c>
      <c r="G6" s="3" t="s">
        <v>1124</v>
      </c>
      <c r="H6" s="49">
        <v>5</v>
      </c>
      <c r="I6" s="49"/>
      <c r="J6" s="49"/>
      <c r="K6" s="49"/>
      <c r="L6" s="49">
        <v>4</v>
      </c>
      <c r="N6" s="48">
        <v>0.3125</v>
      </c>
      <c r="O6" s="4">
        <v>1.1494252873563218E-2</v>
      </c>
    </row>
    <row r="7" spans="1:15">
      <c r="D7" s="3" t="s">
        <v>1160</v>
      </c>
      <c r="E7" s="4">
        <v>0.11494252873563218</v>
      </c>
      <c r="G7" s="3" t="s">
        <v>1123</v>
      </c>
      <c r="H7" s="49">
        <v>30</v>
      </c>
      <c r="I7" s="49">
        <v>4</v>
      </c>
      <c r="J7" s="49">
        <v>8</v>
      </c>
      <c r="K7" s="49">
        <v>1</v>
      </c>
      <c r="L7" s="49">
        <v>30</v>
      </c>
      <c r="N7" s="48">
        <v>0.32291666666666669</v>
      </c>
      <c r="O7" s="4">
        <v>1.1494252873563218E-2</v>
      </c>
    </row>
    <row r="8" spans="1:15">
      <c r="A8" s="2" t="s">
        <v>1162</v>
      </c>
      <c r="B8" t="s">
        <v>1167</v>
      </c>
      <c r="D8" s="3" t="s">
        <v>1159</v>
      </c>
      <c r="E8" s="4">
        <v>2.2988505747126436E-2</v>
      </c>
      <c r="G8" s="3" t="s">
        <v>1125</v>
      </c>
      <c r="H8" s="49">
        <v>9</v>
      </c>
      <c r="I8" s="49"/>
      <c r="J8" s="49">
        <v>1</v>
      </c>
      <c r="K8" s="49">
        <v>1</v>
      </c>
      <c r="L8" s="49">
        <v>3</v>
      </c>
      <c r="N8" s="48">
        <v>0.33333333333333331</v>
      </c>
      <c r="O8" s="4">
        <v>0.11494252873563218</v>
      </c>
    </row>
    <row r="9" spans="1:15">
      <c r="A9" s="3">
        <v>4.0999999999999996</v>
      </c>
      <c r="B9" s="49">
        <v>59</v>
      </c>
      <c r="D9" s="3" t="s">
        <v>1163</v>
      </c>
      <c r="E9" s="4">
        <v>1</v>
      </c>
      <c r="G9" s="3" t="s">
        <v>1128</v>
      </c>
      <c r="H9" s="49">
        <v>5</v>
      </c>
      <c r="I9" s="49">
        <v>1</v>
      </c>
      <c r="J9" s="49"/>
      <c r="K9" s="49"/>
      <c r="L9" s="49">
        <v>6</v>
      </c>
      <c r="N9" s="48">
        <v>0.35416666666666669</v>
      </c>
      <c r="O9" s="4">
        <v>8.0459770114942528E-2</v>
      </c>
    </row>
    <row r="10" spans="1:15">
      <c r="A10" s="3">
        <v>4.2</v>
      </c>
      <c r="B10" s="49">
        <v>276</v>
      </c>
      <c r="G10" s="3" t="s">
        <v>1314</v>
      </c>
      <c r="H10" s="49">
        <v>18</v>
      </c>
      <c r="I10" s="49">
        <v>3</v>
      </c>
      <c r="J10" s="49">
        <v>1</v>
      </c>
      <c r="K10" s="49"/>
      <c r="L10" s="49">
        <v>11</v>
      </c>
      <c r="N10" s="48">
        <v>0.375</v>
      </c>
      <c r="O10" s="4">
        <v>0.17241379310344829</v>
      </c>
    </row>
    <row r="11" spans="1:15">
      <c r="A11" s="3">
        <v>4.3</v>
      </c>
      <c r="B11" s="49">
        <v>17300</v>
      </c>
      <c r="G11" s="3" t="s">
        <v>1163</v>
      </c>
      <c r="H11" s="49">
        <v>67</v>
      </c>
      <c r="I11" s="49">
        <v>8</v>
      </c>
      <c r="J11" s="49">
        <v>10</v>
      </c>
      <c r="K11" s="49">
        <v>2</v>
      </c>
      <c r="L11" s="49">
        <v>54</v>
      </c>
      <c r="N11" s="48">
        <v>0.39583333333333331</v>
      </c>
      <c r="O11" s="4">
        <v>2.2988505747126436E-2</v>
      </c>
    </row>
    <row r="12" spans="1:15">
      <c r="A12" s="3">
        <v>4.4000000000000004</v>
      </c>
      <c r="B12" s="49">
        <v>8656</v>
      </c>
      <c r="N12" s="48">
        <v>0.41666666666666669</v>
      </c>
      <c r="O12" s="4">
        <v>0.25287356321839083</v>
      </c>
    </row>
    <row r="13" spans="1:15">
      <c r="A13" s="3">
        <v>4.5</v>
      </c>
      <c r="B13" s="49">
        <v>13614</v>
      </c>
      <c r="N13" s="48">
        <v>0.4375</v>
      </c>
      <c r="O13" s="4">
        <v>0.10344827586206896</v>
      </c>
    </row>
    <row r="14" spans="1:15">
      <c r="A14" s="3">
        <v>4.5999999999999996</v>
      </c>
      <c r="B14" s="49">
        <v>17307</v>
      </c>
      <c r="N14" s="3" t="s">
        <v>1158</v>
      </c>
      <c r="O14" s="4">
        <v>9.1954022988505746E-2</v>
      </c>
    </row>
    <row r="15" spans="1:15">
      <c r="A15" s="3">
        <v>4.7</v>
      </c>
      <c r="B15" s="49">
        <v>11244</v>
      </c>
      <c r="N15" s="48">
        <v>0.45833333333333331</v>
      </c>
      <c r="O15" s="4">
        <v>8.0459770114942528E-2</v>
      </c>
    </row>
    <row r="16" spans="1:15">
      <c r="A16" s="3">
        <v>4.8</v>
      </c>
      <c r="B16" s="49">
        <v>23928</v>
      </c>
      <c r="N16" s="48">
        <v>0.47916666666666669</v>
      </c>
      <c r="O16" s="4">
        <v>1.1494252873563218E-2</v>
      </c>
    </row>
    <row r="17" spans="1:15">
      <c r="A17" s="3">
        <v>4.9000000000000004</v>
      </c>
      <c r="B17" s="49">
        <v>71029</v>
      </c>
      <c r="N17" s="3" t="s">
        <v>1160</v>
      </c>
      <c r="O17" s="4">
        <v>0.11494252873563218</v>
      </c>
    </row>
    <row r="18" spans="1:15">
      <c r="A18" s="3">
        <v>5</v>
      </c>
      <c r="B18" s="49">
        <v>161</v>
      </c>
      <c r="N18" s="48">
        <v>0.66666666666666663</v>
      </c>
      <c r="O18" s="4">
        <v>2.2988505747126436E-2</v>
      </c>
    </row>
    <row r="19" spans="1:15">
      <c r="A19" s="3" t="s">
        <v>1163</v>
      </c>
      <c r="B19" s="49">
        <v>163574</v>
      </c>
      <c r="N19" s="48">
        <v>0.6875</v>
      </c>
      <c r="O19" s="4">
        <v>1.1494252873563218E-2</v>
      </c>
    </row>
    <row r="20" spans="1:15">
      <c r="N20" s="48">
        <v>0.70833333333333337</v>
      </c>
      <c r="O20" s="4">
        <v>4.5977011494252873E-2</v>
      </c>
    </row>
    <row r="21" spans="1:15">
      <c r="N21" s="48">
        <v>0.72916666666666663</v>
      </c>
      <c r="O21" s="4">
        <v>3.4482758620689655E-2</v>
      </c>
    </row>
    <row r="22" spans="1:15">
      <c r="N22" s="3" t="s">
        <v>1159</v>
      </c>
      <c r="O22" s="4">
        <v>2.2988505747126436E-2</v>
      </c>
    </row>
    <row r="23" spans="1:15">
      <c r="N23" s="48">
        <v>0.75</v>
      </c>
      <c r="O23" s="4">
        <v>2.2988505747126436E-2</v>
      </c>
    </row>
    <row r="24" spans="1:15">
      <c r="N24" s="3" t="s">
        <v>1163</v>
      </c>
      <c r="O24" s="4">
        <v>1</v>
      </c>
    </row>
  </sheetData>
  <conditionalFormatting pivot="1" sqref="O6:O13 O15:O16 O18:O21 O2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A0C9-21EF-430E-9F8E-6197286ED188}">
  <sheetPr>
    <tabColor theme="9" tint="0.59999389629810485"/>
  </sheetPr>
  <dimension ref="A1:K11"/>
  <sheetViews>
    <sheetView zoomScale="85" zoomScaleNormal="85" workbookViewId="0">
      <selection activeCell="J2" sqref="J2"/>
    </sheetView>
  </sheetViews>
  <sheetFormatPr defaultRowHeight="15"/>
  <cols>
    <col min="1" max="1" width="12" customWidth="1"/>
    <col min="2" max="2" width="12" style="13" customWidth="1"/>
    <col min="3" max="3" width="20.28515625" bestFit="1" customWidth="1"/>
    <col min="4" max="4" width="12.85546875" customWidth="1"/>
    <col min="5" max="5" width="14.28515625" customWidth="1"/>
    <col min="6" max="6" width="15.5703125" customWidth="1"/>
    <col min="7" max="7" width="14" customWidth="1"/>
    <col min="8" max="8" width="12.42578125" customWidth="1"/>
    <col min="9" max="9" width="13.85546875" customWidth="1"/>
    <col min="10" max="10" width="14.28515625" customWidth="1"/>
    <col min="11" max="11" width="56.140625" customWidth="1"/>
  </cols>
  <sheetData>
    <row r="1" spans="1:11" ht="27">
      <c r="A1" s="21" t="s">
        <v>1690</v>
      </c>
      <c r="B1" s="21" t="s">
        <v>1224</v>
      </c>
      <c r="C1" s="21" t="s">
        <v>1691</v>
      </c>
      <c r="D1" s="21" t="s">
        <v>1692</v>
      </c>
      <c r="E1" s="21" t="s">
        <v>1693</v>
      </c>
      <c r="F1" s="21" t="s">
        <v>1694</v>
      </c>
      <c r="G1" s="21" t="s">
        <v>1695</v>
      </c>
      <c r="H1" s="21" t="s">
        <v>1696</v>
      </c>
      <c r="I1" s="21" t="s">
        <v>1697</v>
      </c>
      <c r="J1" s="21" t="s">
        <v>1727</v>
      </c>
      <c r="K1" s="21" t="s">
        <v>1698</v>
      </c>
    </row>
    <row r="2" spans="1:11" ht="27">
      <c r="A2" s="22" t="s">
        <v>1138</v>
      </c>
      <c r="B2" s="22" t="s">
        <v>1123</v>
      </c>
      <c r="C2" s="23">
        <f>COUNTIFS('Cleaned Table'!$M:$M,'Scoring model_input'!A2,'Cleaned Table'!$K:$K,'Scoring model_input'!B2)</f>
        <v>28</v>
      </c>
      <c r="D2" s="23">
        <f>SUMIFS('Cleaned Table'!$D:$D,'Cleaned Table'!$M:$M,'Scoring model_input'!A2,'Cleaned Table'!$K:$K,'Scoring model_input'!B2)</f>
        <v>83237</v>
      </c>
      <c r="E2" s="24">
        <f>D2/C2</f>
        <v>2972.75</v>
      </c>
      <c r="F2" s="25">
        <f>C2/COUNTIF('Cleaned Table'!$K:$K,'Scoring model_input'!B2)</f>
        <v>0.38356164383561642</v>
      </c>
      <c r="G2" s="25">
        <f>D2/SUMIF('Cleaned Table'!$K:$K,'Scoring model_input'!B2,'Cleaned Table'!$D:$D)</f>
        <v>0.64715943989612734</v>
      </c>
      <c r="H2" s="25">
        <f>G2-F2</f>
        <v>0.26359779606051092</v>
      </c>
      <c r="I2" s="26">
        <v>90</v>
      </c>
      <c r="J2" s="26">
        <v>80</v>
      </c>
      <c r="K2" s="22" t="s">
        <v>1699</v>
      </c>
    </row>
    <row r="3" spans="1:11" ht="27">
      <c r="A3" s="22" t="s">
        <v>1138</v>
      </c>
      <c r="B3" s="22" t="s">
        <v>1314</v>
      </c>
      <c r="C3" s="23">
        <f>COUNTIFS('Cleaned Table'!$M:$M,'Scoring model_input'!A3,'Cleaned Table'!$K:$K,'Scoring model_input'!B3)</f>
        <v>17</v>
      </c>
      <c r="D3" s="23">
        <f>SUMIFS('Cleaned Table'!$D:$D,'Cleaned Table'!$M:$M,'Scoring model_input'!A3,'Cleaned Table'!$K:$K,'Scoring model_input'!B3)</f>
        <v>5357</v>
      </c>
      <c r="E3" s="24">
        <f t="shared" ref="E3:E10" si="0">D3/C3</f>
        <v>315.11764705882354</v>
      </c>
      <c r="F3" s="25">
        <f>C3/COUNTIF('Cleaned Table'!$K:$K,'Scoring model_input'!B3)</f>
        <v>0.51515151515151514</v>
      </c>
      <c r="G3" s="25">
        <f>D3/SUMIF('Cleaned Table'!$K:$K,'Scoring model_input'!B3,'Cleaned Table'!$D:$D)</f>
        <v>0.36326032413372211</v>
      </c>
      <c r="H3" s="25">
        <f t="shared" ref="H3:H11" si="1">G3-F3</f>
        <v>-0.15189119101779303</v>
      </c>
      <c r="I3" s="26">
        <v>95</v>
      </c>
      <c r="J3" s="26">
        <v>70</v>
      </c>
      <c r="K3" s="22" t="s">
        <v>1700</v>
      </c>
    </row>
    <row r="4" spans="1:11" ht="27">
      <c r="A4" s="22" t="s">
        <v>1138</v>
      </c>
      <c r="B4" s="22" t="s">
        <v>1125</v>
      </c>
      <c r="C4" s="23">
        <f>COUNTIFS('Cleaned Table'!$M:$M,'Scoring model_input'!A4,'Cleaned Table'!$K:$K,'Scoring model_input'!B4)</f>
        <v>5</v>
      </c>
      <c r="D4" s="23">
        <f>SUMIFS('Cleaned Table'!$D:$D,'Cleaned Table'!$M:$M,'Scoring model_input'!A4,'Cleaned Table'!$K:$K,'Scoring model_input'!B4)</f>
        <v>5354</v>
      </c>
      <c r="E4" s="24">
        <f t="shared" si="0"/>
        <v>1070.8</v>
      </c>
      <c r="F4" s="25">
        <f>C4/COUNTIF('Cleaned Table'!$K:$K,'Scoring model_input'!B4)</f>
        <v>0.35714285714285715</v>
      </c>
      <c r="G4" s="25">
        <f>D4/SUMIF('Cleaned Table'!$K:$K,'Scoring model_input'!B4,'Cleaned Table'!$D:$D)</f>
        <v>0.38470934827908315</v>
      </c>
      <c r="H4" s="25">
        <f t="shared" si="1"/>
        <v>2.7566491136226001E-2</v>
      </c>
      <c r="I4" s="26">
        <v>75</v>
      </c>
      <c r="J4" s="26">
        <v>90</v>
      </c>
      <c r="K4" s="22" t="s">
        <v>1701</v>
      </c>
    </row>
    <row r="5" spans="1:11">
      <c r="A5" s="22" t="s">
        <v>1138</v>
      </c>
      <c r="B5" s="22" t="s">
        <v>1128</v>
      </c>
      <c r="C5" s="23">
        <f>COUNTIFS('Cleaned Table'!$M:$M,'Scoring model_input'!A5,'Cleaned Table'!$K:$K,'Scoring model_input'!B5)</f>
        <v>6</v>
      </c>
      <c r="D5" s="23">
        <f>SUMIFS('Cleaned Table'!$D:$D,'Cleaned Table'!$M:$M,'Scoring model_input'!A5,'Cleaned Table'!$K:$K,'Scoring model_input'!B5)</f>
        <v>2605</v>
      </c>
      <c r="E5" s="24">
        <f t="shared" si="0"/>
        <v>434.16666666666669</v>
      </c>
      <c r="F5" s="25">
        <f>C5/COUNTIF('Cleaned Table'!$K:$K,'Scoring model_input'!B5)</f>
        <v>0.5</v>
      </c>
      <c r="G5" s="25">
        <f>D5/SUMIF('Cleaned Table'!$K:$K,'Scoring model_input'!B5,'Cleaned Table'!$D:$D)</f>
        <v>0.5463506711409396</v>
      </c>
      <c r="H5" s="25">
        <f t="shared" si="1"/>
        <v>4.6350671140939603E-2</v>
      </c>
      <c r="I5" s="26">
        <v>85</v>
      </c>
      <c r="J5" s="26">
        <v>90</v>
      </c>
      <c r="K5" s="22" t="s">
        <v>1702</v>
      </c>
    </row>
    <row r="6" spans="1:11" ht="27">
      <c r="A6" s="22" t="s">
        <v>1138</v>
      </c>
      <c r="B6" s="22" t="s">
        <v>1124</v>
      </c>
      <c r="C6" s="23">
        <f>COUNTIFS('Cleaned Table'!$M:$M,'Scoring model_input'!A6,'Cleaned Table'!$K:$K,'Scoring model_input'!B6)</f>
        <v>7</v>
      </c>
      <c r="D6" s="23">
        <f>SUMIFS('Cleaned Table'!$D:$D,'Cleaned Table'!$M:$M,'Scoring model_input'!A6,'Cleaned Table'!$K:$K,'Scoring model_input'!B6)</f>
        <v>1400</v>
      </c>
      <c r="E6" s="24">
        <f t="shared" si="0"/>
        <v>200</v>
      </c>
      <c r="F6" s="25">
        <f>C6/COUNTIF('Cleaned Table'!$K:$K,'Scoring model_input'!B6)</f>
        <v>0.77777777777777779</v>
      </c>
      <c r="G6" s="25">
        <f>D6/SUMIF('Cleaned Table'!$K:$K,'Scoring model_input'!B6,'Cleaned Table'!$D:$D)</f>
        <v>0.91923834537097837</v>
      </c>
      <c r="H6" s="25">
        <f t="shared" si="1"/>
        <v>0.14146056759320058</v>
      </c>
      <c r="I6" s="26">
        <v>80</v>
      </c>
      <c r="J6" s="26">
        <v>85</v>
      </c>
      <c r="K6" s="22" t="s">
        <v>1703</v>
      </c>
    </row>
    <row r="7" spans="1:11">
      <c r="A7" s="22" t="s">
        <v>1156</v>
      </c>
      <c r="B7" s="22" t="s">
        <v>1123</v>
      </c>
      <c r="C7" s="23">
        <f>COUNTIFS('Cleaned Table'!$M:$M,'Scoring model_input'!A7,'Cleaned Table'!$K:$K,'Scoring model_input'!B7)</f>
        <v>34</v>
      </c>
      <c r="D7" s="23">
        <f>SUMIFS('Cleaned Table'!$D:$D,'Cleaned Table'!$M:$M,'Scoring model_input'!A7,'Cleaned Table'!$K:$K,'Scoring model_input'!B7)</f>
        <v>39415</v>
      </c>
      <c r="E7" s="24">
        <f t="shared" si="0"/>
        <v>1159.2647058823529</v>
      </c>
      <c r="F7" s="25">
        <f>C7/COUNTIF('Cleaned Table'!$K:$K,'Scoring model_input'!B7)</f>
        <v>0.46575342465753422</v>
      </c>
      <c r="G7" s="25">
        <f>D7/SUMIF('Cleaned Table'!$K:$K,'Scoring model_input'!B7,'Cleaned Table'!$D:$D)</f>
        <v>0.30644772545269361</v>
      </c>
      <c r="H7" s="25">
        <f t="shared" si="1"/>
        <v>-0.15930569920484061</v>
      </c>
      <c r="I7" s="26">
        <v>90</v>
      </c>
      <c r="J7" s="26">
        <v>92</v>
      </c>
      <c r="K7" s="22" t="s">
        <v>1704</v>
      </c>
    </row>
    <row r="8" spans="1:11" ht="27">
      <c r="A8" s="22" t="s">
        <v>1156</v>
      </c>
      <c r="B8" s="22" t="s">
        <v>1314</v>
      </c>
      <c r="C8" s="23">
        <f>COUNTIFS('Cleaned Table'!$M:$M,'Scoring model_input'!A8,'Cleaned Table'!$K:$K,'Scoring model_input'!B8)</f>
        <v>10</v>
      </c>
      <c r="D8" s="23">
        <f>SUMIFS('Cleaned Table'!$D:$D,'Cleaned Table'!$M:$M,'Scoring model_input'!A8,'Cleaned Table'!$K:$K,'Scoring model_input'!B8)</f>
        <v>7766</v>
      </c>
      <c r="E8" s="24">
        <f t="shared" si="0"/>
        <v>776.6</v>
      </c>
      <c r="F8" s="25">
        <f>C8/COUNTIF('Cleaned Table'!$K:$K,'Scoring model_input'!B8)</f>
        <v>0.30303030303030304</v>
      </c>
      <c r="G8" s="25">
        <f>D8/SUMIF('Cleaned Table'!$K:$K,'Scoring model_input'!B8,'Cleaned Table'!$D:$D)</f>
        <v>0.52661558283040621</v>
      </c>
      <c r="H8" s="25">
        <f t="shared" si="1"/>
        <v>0.22358527980010318</v>
      </c>
      <c r="I8" s="26">
        <v>95</v>
      </c>
      <c r="J8" s="26">
        <v>92</v>
      </c>
      <c r="K8" s="22" t="s">
        <v>1705</v>
      </c>
    </row>
    <row r="9" spans="1:11" ht="40.5">
      <c r="A9" s="22" t="s">
        <v>1156</v>
      </c>
      <c r="B9" s="22" t="s">
        <v>1125</v>
      </c>
      <c r="C9" s="23">
        <f>COUNTIFS('Cleaned Table'!$M:$M,'Scoring model_input'!A9,'Cleaned Table'!$K:$K,'Scoring model_input'!B9)</f>
        <v>3</v>
      </c>
      <c r="D9" s="23">
        <f>SUMIFS('Cleaned Table'!$D:$D,'Cleaned Table'!$M:$M,'Scoring model_input'!A9,'Cleaned Table'!$K:$K,'Scoring model_input'!B9)</f>
        <v>7482</v>
      </c>
      <c r="E9" s="24">
        <f t="shared" si="0"/>
        <v>2494</v>
      </c>
      <c r="F9" s="25">
        <f>C9/COUNTIF('Cleaned Table'!$K:$K,'Scoring model_input'!B9)</f>
        <v>0.21428571428571427</v>
      </c>
      <c r="G9" s="25">
        <f>D9/SUMIF('Cleaned Table'!$K:$K,'Scoring model_input'!B9,'Cleaned Table'!$D:$D)</f>
        <v>0.5376158654882518</v>
      </c>
      <c r="H9" s="25">
        <f t="shared" si="1"/>
        <v>0.3233301512025375</v>
      </c>
      <c r="I9" s="26">
        <v>55</v>
      </c>
      <c r="J9" s="26">
        <v>85</v>
      </c>
      <c r="K9" s="22" t="s">
        <v>1706</v>
      </c>
    </row>
    <row r="10" spans="1:11" ht="27">
      <c r="A10" s="22" t="s">
        <v>1156</v>
      </c>
      <c r="B10" s="22" t="s">
        <v>1128</v>
      </c>
      <c r="C10" s="23">
        <f>COUNTIFS('Cleaned Table'!$M:$M,'Scoring model_input'!A10,'Cleaned Table'!$K:$K,'Scoring model_input'!B10)</f>
        <v>2</v>
      </c>
      <c r="D10" s="23">
        <f>SUMIFS('Cleaned Table'!$D:$D,'Cleaned Table'!$M:$M,'Scoring model_input'!A10,'Cleaned Table'!$K:$K,'Scoring model_input'!B10)</f>
        <v>964</v>
      </c>
      <c r="E10" s="24">
        <f t="shared" si="0"/>
        <v>482</v>
      </c>
      <c r="F10" s="25">
        <f>C10/COUNTIF('Cleaned Table'!$K:$K,'Scoring model_input'!B10)</f>
        <v>0.16666666666666666</v>
      </c>
      <c r="G10" s="25">
        <f>D10/SUMIF('Cleaned Table'!$K:$K,'Scoring model_input'!B10,'Cleaned Table'!$D:$D)</f>
        <v>0.20218120805369127</v>
      </c>
      <c r="H10" s="25">
        <f t="shared" si="1"/>
        <v>3.5514541387024617E-2</v>
      </c>
      <c r="I10" s="26">
        <v>75</v>
      </c>
      <c r="J10" s="26">
        <v>80</v>
      </c>
      <c r="K10" s="22" t="s">
        <v>1707</v>
      </c>
    </row>
    <row r="11" spans="1:11" ht="27">
      <c r="A11" s="22" t="s">
        <v>1156</v>
      </c>
      <c r="B11" s="22" t="s">
        <v>1124</v>
      </c>
      <c r="C11" s="23">
        <f>COUNTIFS('Cleaned Table'!$M:$M,'Scoring model_input'!A11,'Cleaned Table'!$K:$K,'Scoring model_input'!B11)</f>
        <v>0</v>
      </c>
      <c r="D11" s="23">
        <f>SUMIFS('Cleaned Table'!$D:$D,'Cleaned Table'!$M:$M,'Scoring model_input'!A11,'Cleaned Table'!$K:$K,'Scoring model_input'!B11)</f>
        <v>0</v>
      </c>
      <c r="E11" s="24">
        <f>IFERROR(D11/C11,0)</f>
        <v>0</v>
      </c>
      <c r="F11" s="25">
        <f>C11/COUNTIF('Cleaned Table'!$K:$K,'Scoring model_input'!B11)</f>
        <v>0</v>
      </c>
      <c r="G11" s="25">
        <f>D11/SUMIF('Cleaned Table'!$K:$K,'Scoring model_input'!B11,'Cleaned Table'!$D:$D)</f>
        <v>0</v>
      </c>
      <c r="H11" s="25">
        <f t="shared" si="1"/>
        <v>0</v>
      </c>
      <c r="I11" s="26">
        <v>65</v>
      </c>
      <c r="J11" s="26">
        <v>30</v>
      </c>
      <c r="K11" s="22" t="s">
        <v>1708</v>
      </c>
    </row>
  </sheetData>
  <autoFilter ref="A1:K11" xr:uid="{5F9FA0C9-21EF-430E-9F8E-6197286ED18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0BE-AD85-48E0-ACF1-4BB08865A042}">
  <sheetPr>
    <tabColor theme="9" tint="0.59999389629810485"/>
  </sheetPr>
  <dimension ref="A1:Q18"/>
  <sheetViews>
    <sheetView zoomScale="85" zoomScaleNormal="85" workbookViewId="0">
      <selection activeCell="H1" sqref="H1"/>
    </sheetView>
  </sheetViews>
  <sheetFormatPr defaultRowHeight="15"/>
  <cols>
    <col min="2" max="2" width="15.5703125" customWidth="1"/>
    <col min="3" max="4" width="14.28515625" customWidth="1"/>
    <col min="5" max="5" width="20.5703125" customWidth="1"/>
    <col min="6" max="6" width="19.85546875" customWidth="1"/>
    <col min="7" max="7" width="15.7109375" customWidth="1"/>
    <col min="8" max="8" width="16.140625" customWidth="1"/>
    <col min="9" max="9" width="22" customWidth="1"/>
    <col min="10" max="16" width="16.140625" customWidth="1"/>
    <col min="17" max="17" width="30.140625" customWidth="1"/>
  </cols>
  <sheetData>
    <row r="1" spans="1:17" ht="27">
      <c r="A1" s="21" t="s">
        <v>1690</v>
      </c>
      <c r="B1" s="21" t="s">
        <v>1224</v>
      </c>
      <c r="C1" s="21" t="s">
        <v>1709</v>
      </c>
      <c r="D1" s="21" t="s">
        <v>1226</v>
      </c>
      <c r="E1" s="21" t="s">
        <v>1693</v>
      </c>
      <c r="F1" s="21" t="s">
        <v>1694</v>
      </c>
      <c r="G1" s="21" t="s">
        <v>1695</v>
      </c>
      <c r="H1" s="21" t="s">
        <v>1696</v>
      </c>
      <c r="I1" s="21" t="s">
        <v>1710</v>
      </c>
      <c r="J1" s="21" t="s">
        <v>1717</v>
      </c>
      <c r="K1" s="21" t="s">
        <v>1711</v>
      </c>
      <c r="L1" s="21" t="s">
        <v>1712</v>
      </c>
      <c r="M1" s="21" t="s">
        <v>1713</v>
      </c>
      <c r="N1" s="21" t="s">
        <v>1728</v>
      </c>
      <c r="O1" s="21" t="s">
        <v>1714</v>
      </c>
      <c r="P1" s="21" t="s">
        <v>1175</v>
      </c>
      <c r="Q1" s="21" t="s">
        <v>1715</v>
      </c>
    </row>
    <row r="2" spans="1:17" s="7" customFormat="1">
      <c r="A2" s="41" t="str">
        <f>'[1]Input Metrics'!A10</f>
        <v>Medium</v>
      </c>
      <c r="B2" s="41" t="str">
        <f>'[1]Input Metrics'!B10</f>
        <v>District 1</v>
      </c>
      <c r="C2" s="42">
        <f>'Scoring model_input'!C2</f>
        <v>28</v>
      </c>
      <c r="D2" s="42">
        <f>'Scoring model_input'!D2</f>
        <v>83237</v>
      </c>
      <c r="E2" s="42">
        <f>'Scoring model_input'!E2</f>
        <v>2972.75</v>
      </c>
      <c r="F2" s="43">
        <f>'Scoring model_input'!F2</f>
        <v>0.38356164383561642</v>
      </c>
      <c r="G2" s="43">
        <f>'Scoring model_input'!G2</f>
        <v>0.64715943989612734</v>
      </c>
      <c r="H2" s="43">
        <f>'Scoring model_input'!H2</f>
        <v>0.26359779606051092</v>
      </c>
      <c r="I2" s="44">
        <f t="shared" ref="I2:I11" si="0">IFERROR(0.6*((D2-_xlfn.MINIFS($D$2:$D$11,$A$2:$A$11,$A2))/(_xlfn.MAXIFS($D$2:$D$11,$A$2:$A$11,$A2)-_xlfn.MINIFS($D$2:$D$11,$A$2:$A$11,$A2))*100)+0.4*((E2-_xlfn.MINIFS($E$2:$E$11,$A$2:$A$11,$A2))/(_xlfn.MAXIFS($E$2:$E$11,$A$2:$A$11,$A2)-_xlfn.MINIFS($E$2:$E$11,$A$2:$A$11,$A2))*100),0)</f>
        <v>100</v>
      </c>
      <c r="J2" s="44">
        <f>IF(D2=0,45,IFERROR((_xlfn.MAXIFS($C$2:$C$11,$A$2:$A$11,$A2)-C2)/(_xlfn.MAXIFS($C$2:$C$11,$A$2:$A$11,$A2)-_xlfn.MINIFS($C$2:$C$11,$A$2:$A$11,$A2))*100,0))</f>
        <v>0</v>
      </c>
      <c r="K2" s="44">
        <f>IFERROR((H2-_xlfn.MINIFS($H$2:$H$11,$A$2:$A$11,$A2))/(_xlfn.MAXIFS($H$2:$H$11,$A$2:$A$11,$A2)-_xlfn.MINIFS($H$2:$H$11,$A$2:$A$11,$A2))*100,0)</f>
        <v>100</v>
      </c>
      <c r="L2" s="44">
        <f t="shared" ref="L2:L11" si="1">((F2*100)*0.5)+((G2*100)*0.5)</f>
        <v>51.536054186587194</v>
      </c>
      <c r="M2" s="44">
        <f>'[1]Input Metrics'!J10</f>
        <v>90</v>
      </c>
      <c r="N2" s="44">
        <f>'[1]Input Metrics'!K10</f>
        <v>80</v>
      </c>
      <c r="O2" s="44">
        <f>I2*VLOOKUP($A2,$A$16:$G$18,2,FALSE)+J2*VLOOKUP($A2,$A$16:$G$18,3,FALSE)+K2*VLOOKUP($A2,$A$16:$G$18,4,FALSE)+L2*VLOOKUP($A2,$A$16:$G$18,5,FALSE)+M2*VLOOKUP($A2,$A$16:$G$18,6,FALSE)+N2*VLOOKUP($A2,$A$16:$G$18,7,FALSE)</f>
        <v>74.230408127988085</v>
      </c>
      <c r="P2" s="45">
        <f t="shared" ref="P2:P11" si="2">COUNTIFS($A$2:$A$11,A2,$O$2:$O$11,"&gt;"&amp;O2)+1</f>
        <v>1</v>
      </c>
      <c r="Q2" s="41" t="str">
        <f t="shared" ref="Q2:Q11" si="3">IF(P2=1,"Best option for "&amp;A2,IF(P2=2,"Runner-up","Lower priority / validate further"))</f>
        <v>Best option for Medium</v>
      </c>
    </row>
    <row r="3" spans="1:17">
      <c r="A3" s="22" t="str">
        <f>'[1]Input Metrics'!A11</f>
        <v>Medium</v>
      </c>
      <c r="B3" s="22" t="str">
        <f>'[1]Input Metrics'!B11</f>
        <v>District 2</v>
      </c>
      <c r="C3" s="23">
        <f>'Scoring model_input'!C3</f>
        <v>17</v>
      </c>
      <c r="D3" s="23">
        <f>'Scoring model_input'!D3</f>
        <v>5357</v>
      </c>
      <c r="E3" s="23">
        <f>'Scoring model_input'!E3</f>
        <v>315.11764705882354</v>
      </c>
      <c r="F3" s="29">
        <f>'Scoring model_input'!F3</f>
        <v>0.51515151515151514</v>
      </c>
      <c r="G3" s="29">
        <f>'Scoring model_input'!G3</f>
        <v>0.36326032413372211</v>
      </c>
      <c r="H3" s="29">
        <f>'Scoring model_input'!H3</f>
        <v>-0.15189119101779303</v>
      </c>
      <c r="I3" s="27">
        <f t="shared" si="0"/>
        <v>4.5618327240891414</v>
      </c>
      <c r="J3" s="27">
        <f t="shared" ref="J3:J11" si="4">IF(D3=0,45,IFERROR((_xlfn.MAXIFS($C$2:$C$11,$A$2:$A$11,$A3)-C3)/(_xlfn.MAXIFS($C$2:$C$11,$A$2:$A$11,$A3)-_xlfn.MINIFS($C$2:$C$11,$A$2:$A$11,$A3))*100,0))</f>
        <v>47.826086956521742</v>
      </c>
      <c r="K3" s="27">
        <f t="shared" ref="K3:K11" si="5">IFERROR((H3-_xlfn.MINIFS($H$2:$H$11,$A$2:$A$11,$A3))/(_xlfn.MAXIFS($H$2:$H$11,$A$2:$A$11,$A3)-_xlfn.MINIFS($H$2:$H$11,$A$2:$A$11,$A3))*100,0)</f>
        <v>0</v>
      </c>
      <c r="L3" s="27">
        <f t="shared" si="1"/>
        <v>43.92059196426186</v>
      </c>
      <c r="M3" s="27">
        <f>'[1]Input Metrics'!J11</f>
        <v>95</v>
      </c>
      <c r="N3" s="27">
        <f>'[1]Input Metrics'!K11</f>
        <v>70</v>
      </c>
      <c r="O3" s="27">
        <f t="shared" ref="O3:O11" si="6">I3*VLOOKUP($A3,$A$16:$G$18,2,FALSE)+J3*VLOOKUP($A3,$A$16:$G$18,3,FALSE)+K3*VLOOKUP($A3,$A$16:$G$18,4,FALSE)+L3*VLOOKUP($A3,$A$16:$G$18,5,FALSE)+M3*VLOOKUP($A3,$A$16:$G$18,6,FALSE)+N3*VLOOKUP($A3,$A$16:$G$18,7,FALSE)</f>
        <v>36.152460019139824</v>
      </c>
      <c r="P3" s="28">
        <f t="shared" si="2"/>
        <v>5</v>
      </c>
      <c r="Q3" s="22" t="str">
        <f t="shared" si="3"/>
        <v>Lower priority / validate further</v>
      </c>
    </row>
    <row r="4" spans="1:17">
      <c r="A4" s="22" t="str">
        <f>'[1]Input Metrics'!A12</f>
        <v>Medium</v>
      </c>
      <c r="B4" s="22" t="str">
        <f>'[1]Input Metrics'!B12</f>
        <v>District 3</v>
      </c>
      <c r="C4" s="23">
        <f>'Scoring model_input'!C4</f>
        <v>5</v>
      </c>
      <c r="D4" s="23">
        <f>'Scoring model_input'!D4</f>
        <v>5354</v>
      </c>
      <c r="E4" s="23">
        <f>'Scoring model_input'!E4</f>
        <v>1070.8</v>
      </c>
      <c r="F4" s="29">
        <f>'Scoring model_input'!F4</f>
        <v>0.35714285714285715</v>
      </c>
      <c r="G4" s="29">
        <f>'Scoring model_input'!G4</f>
        <v>0.38470934827908315</v>
      </c>
      <c r="H4" s="29">
        <f>'Scoring model_input'!H4</f>
        <v>2.7566491136226001E-2</v>
      </c>
      <c r="I4" s="27">
        <f t="shared" si="0"/>
        <v>15.461190931765975</v>
      </c>
      <c r="J4" s="27">
        <f t="shared" si="4"/>
        <v>100</v>
      </c>
      <c r="K4" s="27">
        <f t="shared" si="5"/>
        <v>43.191922706773944</v>
      </c>
      <c r="L4" s="27">
        <f t="shared" si="1"/>
        <v>37.092610271097016</v>
      </c>
      <c r="M4" s="27">
        <f>'[1]Input Metrics'!J12</f>
        <v>75</v>
      </c>
      <c r="N4" s="27">
        <f>'[1]Input Metrics'!K12</f>
        <v>90</v>
      </c>
      <c r="O4" s="27">
        <f t="shared" si="6"/>
        <v>53.317573814960831</v>
      </c>
      <c r="P4" s="28">
        <f t="shared" si="2"/>
        <v>4</v>
      </c>
      <c r="Q4" s="22" t="str">
        <f t="shared" si="3"/>
        <v>Lower priority / validate further</v>
      </c>
    </row>
    <row r="5" spans="1:17">
      <c r="A5" s="22" t="str">
        <f>'[1]Input Metrics'!A13</f>
        <v>Medium</v>
      </c>
      <c r="B5" s="22" t="str">
        <f>'[1]Input Metrics'!B13</f>
        <v>District 7</v>
      </c>
      <c r="C5" s="23">
        <f>'Scoring model_input'!C5</f>
        <v>6</v>
      </c>
      <c r="D5" s="23">
        <f>'Scoring model_input'!D5</f>
        <v>2605</v>
      </c>
      <c r="E5" s="23">
        <f>'Scoring model_input'!E5</f>
        <v>434.16666666666669</v>
      </c>
      <c r="F5" s="29">
        <f>'Scoring model_input'!F5</f>
        <v>0.5</v>
      </c>
      <c r="G5" s="29">
        <f>'Scoring model_input'!G5</f>
        <v>0.5463506711409396</v>
      </c>
      <c r="H5" s="29">
        <f>'Scoring model_input'!H5</f>
        <v>4.6350671140939603E-2</v>
      </c>
      <c r="I5" s="27">
        <f t="shared" si="0"/>
        <v>4.2615778571090948</v>
      </c>
      <c r="J5" s="27">
        <f t="shared" si="4"/>
        <v>95.652173913043484</v>
      </c>
      <c r="K5" s="27">
        <f t="shared" si="5"/>
        <v>47.712904150061512</v>
      </c>
      <c r="L5" s="27">
        <f t="shared" si="1"/>
        <v>52.317533557046978</v>
      </c>
      <c r="M5" s="27">
        <f>'[1]Input Metrics'!J13</f>
        <v>85</v>
      </c>
      <c r="N5" s="27">
        <f>'[1]Input Metrics'!K13</f>
        <v>90</v>
      </c>
      <c r="O5" s="27">
        <f t="shared" si="6"/>
        <v>54.553431414803143</v>
      </c>
      <c r="P5" s="28">
        <f t="shared" si="2"/>
        <v>3</v>
      </c>
      <c r="Q5" s="22" t="str">
        <f t="shared" si="3"/>
        <v>Lower priority / validate further</v>
      </c>
    </row>
    <row r="6" spans="1:17">
      <c r="A6" s="36" t="str">
        <f>'[1]Input Metrics'!A14</f>
        <v>Medium</v>
      </c>
      <c r="B6" s="36" t="str">
        <f>'[1]Input Metrics'!B14</f>
        <v>Binh Thanh</v>
      </c>
      <c r="C6" s="37">
        <f>'Scoring model_input'!C6</f>
        <v>7</v>
      </c>
      <c r="D6" s="37">
        <f>'Scoring model_input'!D6</f>
        <v>1400</v>
      </c>
      <c r="E6" s="37">
        <f>'Scoring model_input'!E6</f>
        <v>200</v>
      </c>
      <c r="F6" s="38">
        <f>'Scoring model_input'!F6</f>
        <v>0.77777777777777779</v>
      </c>
      <c r="G6" s="38">
        <f>'Scoring model_input'!G6</f>
        <v>0.91923834537097837</v>
      </c>
      <c r="H6" s="38">
        <f>'Scoring model_input'!H6</f>
        <v>0.14146056759320058</v>
      </c>
      <c r="I6" s="39">
        <f t="shared" si="0"/>
        <v>0</v>
      </c>
      <c r="J6" s="39">
        <f t="shared" si="4"/>
        <v>91.304347826086953</v>
      </c>
      <c r="K6" s="39">
        <f t="shared" si="5"/>
        <v>70.603979343430325</v>
      </c>
      <c r="L6" s="39">
        <f t="shared" si="1"/>
        <v>84.850806157437802</v>
      </c>
      <c r="M6" s="39">
        <f>'[1]Input Metrics'!J14</f>
        <v>80</v>
      </c>
      <c r="N6" s="39">
        <f>'[1]Input Metrics'!K14</f>
        <v>85</v>
      </c>
      <c r="O6" s="39">
        <f t="shared" si="6"/>
        <v>61.04406896621478</v>
      </c>
      <c r="P6" s="40">
        <f t="shared" si="2"/>
        <v>2</v>
      </c>
      <c r="Q6" s="36" t="str">
        <f t="shared" si="3"/>
        <v>Runner-up</v>
      </c>
    </row>
    <row r="7" spans="1:17">
      <c r="A7" s="31" t="str">
        <f>'[1]Input Metrics'!A15</f>
        <v>Premium</v>
      </c>
      <c r="B7" s="31" t="str">
        <f>'[1]Input Metrics'!B15</f>
        <v>District 1</v>
      </c>
      <c r="C7" s="32">
        <f>'Scoring model_input'!C7</f>
        <v>34</v>
      </c>
      <c r="D7" s="32">
        <f>'Scoring model_input'!D7</f>
        <v>39415</v>
      </c>
      <c r="E7" s="32">
        <f>'Scoring model_input'!E7</f>
        <v>1159.2647058823529</v>
      </c>
      <c r="F7" s="33">
        <f>'Scoring model_input'!F7</f>
        <v>0.46575342465753422</v>
      </c>
      <c r="G7" s="33">
        <f>'Scoring model_input'!G7</f>
        <v>0.30644772545269361</v>
      </c>
      <c r="H7" s="33">
        <f>'Scoring model_input'!H7</f>
        <v>-0.15930569920484061</v>
      </c>
      <c r="I7" s="27">
        <f t="shared" si="0"/>
        <v>78.592858153686493</v>
      </c>
      <c r="J7" s="27">
        <f t="shared" si="4"/>
        <v>0</v>
      </c>
      <c r="K7" s="27">
        <f t="shared" si="5"/>
        <v>0</v>
      </c>
      <c r="L7" s="27">
        <f t="shared" si="1"/>
        <v>38.610057505511392</v>
      </c>
      <c r="M7" s="27">
        <f>'[1]Input Metrics'!J15</f>
        <v>90</v>
      </c>
      <c r="N7" s="27">
        <f>'[1]Input Metrics'!K15</f>
        <v>92</v>
      </c>
      <c r="O7" s="34">
        <f t="shared" si="6"/>
        <v>55.140583131839577</v>
      </c>
      <c r="P7" s="35">
        <f t="shared" si="2"/>
        <v>3</v>
      </c>
      <c r="Q7" s="31" t="str">
        <f t="shared" si="3"/>
        <v>Lower priority / validate further</v>
      </c>
    </row>
    <row r="8" spans="1:17" s="7" customFormat="1">
      <c r="A8" s="41" t="str">
        <f>'[1]Input Metrics'!A16</f>
        <v>Premium</v>
      </c>
      <c r="B8" s="41" t="str">
        <f>'[1]Input Metrics'!B16</f>
        <v>District 2</v>
      </c>
      <c r="C8" s="42">
        <f>'Scoring model_input'!C8</f>
        <v>10</v>
      </c>
      <c r="D8" s="42">
        <f>'Scoring model_input'!D8</f>
        <v>7766</v>
      </c>
      <c r="E8" s="42">
        <f>'Scoring model_input'!E8</f>
        <v>776.6</v>
      </c>
      <c r="F8" s="43">
        <f>'Scoring model_input'!F8</f>
        <v>0.30303030303030304</v>
      </c>
      <c r="G8" s="43">
        <f>'Scoring model_input'!G8</f>
        <v>0.52661558283040621</v>
      </c>
      <c r="H8" s="43">
        <f>'Scoring model_input'!H8</f>
        <v>0.22358527980010318</v>
      </c>
      <c r="I8" s="44">
        <f t="shared" si="0"/>
        <v>24.277388401197506</v>
      </c>
      <c r="J8" s="44">
        <f t="shared" si="4"/>
        <v>70.588235294117652</v>
      </c>
      <c r="K8" s="44">
        <f t="shared" si="5"/>
        <v>79.333306608234182</v>
      </c>
      <c r="L8" s="44">
        <f t="shared" si="1"/>
        <v>41.482294293035466</v>
      </c>
      <c r="M8" s="44">
        <f>'[1]Input Metrics'!J16</f>
        <v>95</v>
      </c>
      <c r="N8" s="44">
        <f>'[1]Input Metrics'!K16</f>
        <v>92</v>
      </c>
      <c r="O8" s="44">
        <f t="shared" si="6"/>
        <v>65.498009625199316</v>
      </c>
      <c r="P8" s="45">
        <f t="shared" si="2"/>
        <v>1</v>
      </c>
      <c r="Q8" s="41" t="str">
        <f t="shared" si="3"/>
        <v>Best option for Premium</v>
      </c>
    </row>
    <row r="9" spans="1:17">
      <c r="A9" s="22" t="str">
        <f>'[1]Input Metrics'!A17</f>
        <v>Premium</v>
      </c>
      <c r="B9" s="22" t="str">
        <f>'[1]Input Metrics'!B17</f>
        <v>District 3</v>
      </c>
      <c r="C9" s="23">
        <f>'Scoring model_input'!C9</f>
        <v>3</v>
      </c>
      <c r="D9" s="23">
        <f>'Scoring model_input'!D9</f>
        <v>7482</v>
      </c>
      <c r="E9" s="23">
        <f>'Scoring model_input'!E9</f>
        <v>2494</v>
      </c>
      <c r="F9" s="30">
        <f>'Scoring model_input'!F9</f>
        <v>0.21428571428571427</v>
      </c>
      <c r="G9" s="30">
        <f>'Scoring model_input'!G9</f>
        <v>0.5376158654882518</v>
      </c>
      <c r="H9" s="30">
        <f>'Scoring model_input'!H9</f>
        <v>0.3233301512025375</v>
      </c>
      <c r="I9" s="27">
        <f t="shared" si="0"/>
        <v>51.38957249778003</v>
      </c>
      <c r="J9" s="27">
        <f t="shared" si="4"/>
        <v>91.17647058823529</v>
      </c>
      <c r="K9" s="27">
        <f t="shared" si="5"/>
        <v>100</v>
      </c>
      <c r="L9" s="27">
        <f t="shared" si="1"/>
        <v>37.595078988698305</v>
      </c>
      <c r="M9" s="27">
        <f>'[1]Input Metrics'!J17</f>
        <v>55</v>
      </c>
      <c r="N9" s="27">
        <f>'[1]Input Metrics'!K17</f>
        <v>85</v>
      </c>
      <c r="O9" s="24">
        <f t="shared" si="6"/>
        <v>64.605753826707428</v>
      </c>
      <c r="P9" s="28">
        <f t="shared" si="2"/>
        <v>2</v>
      </c>
      <c r="Q9" s="22" t="str">
        <f t="shared" si="3"/>
        <v>Runner-up</v>
      </c>
    </row>
    <row r="10" spans="1:17">
      <c r="A10" s="22" t="str">
        <f>'[1]Input Metrics'!A18</f>
        <v>Premium</v>
      </c>
      <c r="B10" s="22" t="str">
        <f>'[1]Input Metrics'!B18</f>
        <v>District 7</v>
      </c>
      <c r="C10" s="23">
        <f>'Scoring model_input'!C10</f>
        <v>2</v>
      </c>
      <c r="D10" s="23">
        <f>'Scoring model_input'!D10</f>
        <v>964</v>
      </c>
      <c r="E10" s="23">
        <f>'Scoring model_input'!E10</f>
        <v>482</v>
      </c>
      <c r="F10" s="30">
        <f>'Scoring model_input'!F10</f>
        <v>0.16666666666666666</v>
      </c>
      <c r="G10" s="30">
        <f>'Scoring model_input'!G10</f>
        <v>0.20218120805369127</v>
      </c>
      <c r="H10" s="30">
        <f>'Scoring model_input'!H10</f>
        <v>3.5514541387024617E-2</v>
      </c>
      <c r="I10" s="27">
        <f t="shared" si="0"/>
        <v>9.1980149542715797</v>
      </c>
      <c r="J10" s="27">
        <f t="shared" si="4"/>
        <v>94.117647058823522</v>
      </c>
      <c r="K10" s="27">
        <f t="shared" si="5"/>
        <v>40.365886708876566</v>
      </c>
      <c r="L10" s="27">
        <f t="shared" si="1"/>
        <v>18.442393736017898</v>
      </c>
      <c r="M10" s="27">
        <f>'[1]Input Metrics'!J18</f>
        <v>75</v>
      </c>
      <c r="N10" s="27">
        <f>'[1]Input Metrics'!K18</f>
        <v>80</v>
      </c>
      <c r="O10" s="24">
        <f t="shared" si="6"/>
        <v>45.057141432774387</v>
      </c>
      <c r="P10" s="28">
        <f t="shared" si="2"/>
        <v>4</v>
      </c>
      <c r="Q10" s="22" t="str">
        <f t="shared" si="3"/>
        <v>Lower priority / validate further</v>
      </c>
    </row>
    <row r="11" spans="1:17">
      <c r="A11" s="22" t="str">
        <f>'[1]Input Metrics'!A19</f>
        <v>Premium</v>
      </c>
      <c r="B11" s="22" t="str">
        <f>'[1]Input Metrics'!B19</f>
        <v>Binh Thanh</v>
      </c>
      <c r="C11" s="23">
        <f>'Scoring model_input'!C11</f>
        <v>0</v>
      </c>
      <c r="D11" s="23">
        <f>'Scoring model_input'!D11</f>
        <v>0</v>
      </c>
      <c r="E11" s="23">
        <f>'Scoring model_input'!E11</f>
        <v>0</v>
      </c>
      <c r="F11" s="30">
        <f>'Scoring model_input'!F11</f>
        <v>0</v>
      </c>
      <c r="G11" s="30">
        <f>'Scoring model_input'!G11</f>
        <v>0</v>
      </c>
      <c r="H11" s="30">
        <f>'Scoring model_input'!H11</f>
        <v>0</v>
      </c>
      <c r="I11" s="27">
        <f t="shared" si="0"/>
        <v>0</v>
      </c>
      <c r="J11" s="27">
        <f t="shared" si="4"/>
        <v>45</v>
      </c>
      <c r="K11" s="27">
        <f t="shared" si="5"/>
        <v>33.00743180813766</v>
      </c>
      <c r="L11" s="27">
        <f t="shared" si="1"/>
        <v>0</v>
      </c>
      <c r="M11" s="27">
        <f>'[1]Input Metrics'!J19</f>
        <v>65</v>
      </c>
      <c r="N11" s="27">
        <f>'[1]Input Metrics'!K19</f>
        <v>30</v>
      </c>
      <c r="O11" s="24">
        <f t="shared" si="6"/>
        <v>28.101486361627533</v>
      </c>
      <c r="P11" s="28">
        <f t="shared" si="2"/>
        <v>5</v>
      </c>
      <c r="Q11" s="22" t="str">
        <f t="shared" si="3"/>
        <v>Lower priority / validate further</v>
      </c>
    </row>
    <row r="15" spans="1:17" ht="40.5">
      <c r="A15" s="21" t="s">
        <v>1690</v>
      </c>
      <c r="B15" s="21" t="s">
        <v>1718</v>
      </c>
      <c r="C15" s="21" t="s">
        <v>1717</v>
      </c>
      <c r="D15" s="21" t="s">
        <v>1719</v>
      </c>
      <c r="E15" s="21" t="s">
        <v>1720</v>
      </c>
      <c r="F15" s="21" t="s">
        <v>1721</v>
      </c>
      <c r="G15" s="21" t="s">
        <v>1722</v>
      </c>
      <c r="H15" s="21" t="s">
        <v>1723</v>
      </c>
    </row>
    <row r="16" spans="1:17">
      <c r="A16" s="22" t="s">
        <v>1142</v>
      </c>
      <c r="B16" s="47">
        <v>0.2</v>
      </c>
      <c r="C16" s="47">
        <v>0.2</v>
      </c>
      <c r="D16" s="47">
        <v>0.2</v>
      </c>
      <c r="E16" s="47">
        <v>0.2</v>
      </c>
      <c r="F16" s="47">
        <v>0.1</v>
      </c>
      <c r="G16" s="47">
        <v>0.1</v>
      </c>
      <c r="H16" s="47">
        <f>SUM(B16:G16)</f>
        <v>1</v>
      </c>
    </row>
    <row r="17" spans="1:8">
      <c r="A17" s="22" t="s">
        <v>1138</v>
      </c>
      <c r="B17" s="47">
        <v>0.25</v>
      </c>
      <c r="C17" s="47">
        <v>0.15</v>
      </c>
      <c r="D17" s="47">
        <v>0.2</v>
      </c>
      <c r="E17" s="47">
        <v>0.15</v>
      </c>
      <c r="F17" s="47">
        <v>0.15</v>
      </c>
      <c r="G17" s="47">
        <v>0.1</v>
      </c>
      <c r="H17" s="47">
        <f>SUM(B17:G17)</f>
        <v>1.0000000000000002</v>
      </c>
    </row>
    <row r="18" spans="1:8">
      <c r="A18" s="22" t="s">
        <v>1156</v>
      </c>
      <c r="B18" s="47">
        <v>0.2</v>
      </c>
      <c r="C18" s="47">
        <v>0.05</v>
      </c>
      <c r="D18" s="47">
        <v>0.2</v>
      </c>
      <c r="E18" s="47">
        <v>0.2</v>
      </c>
      <c r="F18" s="47">
        <v>0.25</v>
      </c>
      <c r="G18" s="47">
        <v>0.1</v>
      </c>
      <c r="H18" s="47">
        <f>SUM(B18:G18)</f>
        <v>1</v>
      </c>
    </row>
  </sheetData>
  <conditionalFormatting sqref="O2:O11">
    <cfRule type="colorScale" priority="1">
      <colorScale>
        <cfvo type="min"/>
        <cfvo type="percentile" val="50"/>
        <cfvo type="max"/>
        <color rgb="FFFDEBD0"/>
        <color rgb="FFFFF7CC"/>
        <color rgb="FFDCEFD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B199-A213-405B-AC67-A31866DC05DA}">
  <dimension ref="A1:P22"/>
  <sheetViews>
    <sheetView workbookViewId="0"/>
  </sheetViews>
  <sheetFormatPr defaultRowHeight="15"/>
  <cols>
    <col min="1" max="1" width="81.140625" bestFit="1" customWidth="1"/>
    <col min="2" max="2" width="56.140625" bestFit="1" customWidth="1"/>
    <col min="3" max="3" width="10.7109375" bestFit="1" customWidth="1"/>
    <col min="4" max="4" width="8.7109375" bestFit="1" customWidth="1"/>
    <col min="5" max="5" width="9.42578125" bestFit="1" customWidth="1"/>
    <col min="6" max="6" width="10.85546875" bestFit="1" customWidth="1"/>
    <col min="7" max="7" width="10.5703125" bestFit="1" customWidth="1"/>
    <col min="8" max="8" width="11.5703125" bestFit="1" customWidth="1"/>
    <col min="9" max="9" width="40.85546875" bestFit="1" customWidth="1"/>
    <col min="10" max="10" width="11.5703125" bestFit="1" customWidth="1"/>
    <col min="11" max="11" width="17.85546875" bestFit="1" customWidth="1"/>
    <col min="12" max="12" width="81.140625" bestFit="1" customWidth="1"/>
    <col min="13" max="13" width="57.85546875" bestFit="1" customWidth="1"/>
    <col min="14" max="14" width="66.5703125" bestFit="1" customWidth="1"/>
    <col min="15" max="15" width="15.42578125" bestFit="1" customWidth="1"/>
    <col min="16" max="16" width="55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100</v>
      </c>
      <c r="B2" t="s">
        <v>101</v>
      </c>
      <c r="C2">
        <v>4.8</v>
      </c>
      <c r="D2">
        <v>-333</v>
      </c>
      <c r="E2" t="s">
        <v>21</v>
      </c>
      <c r="F2" t="s">
        <v>22</v>
      </c>
      <c r="G2" t="s">
        <v>102</v>
      </c>
      <c r="H2" t="s">
        <v>21</v>
      </c>
      <c r="I2" t="s">
        <v>103</v>
      </c>
      <c r="J2" t="s">
        <v>25</v>
      </c>
      <c r="K2" t="s">
        <v>36</v>
      </c>
      <c r="L2" t="s">
        <v>104</v>
      </c>
      <c r="M2" t="s">
        <v>28</v>
      </c>
      <c r="N2" t="s">
        <v>105</v>
      </c>
      <c r="O2" t="s">
        <v>30</v>
      </c>
      <c r="P2" t="s">
        <v>106</v>
      </c>
    </row>
    <row r="3" spans="1:16">
      <c r="A3" t="s">
        <v>92</v>
      </c>
      <c r="B3" t="s">
        <v>93</v>
      </c>
      <c r="C3">
        <v>4.7</v>
      </c>
      <c r="D3">
        <v>-344</v>
      </c>
      <c r="E3" t="s">
        <v>21</v>
      </c>
      <c r="F3" t="s">
        <v>22</v>
      </c>
      <c r="G3" t="s">
        <v>35</v>
      </c>
      <c r="H3" t="s">
        <v>21</v>
      </c>
      <c r="I3" t="s">
        <v>21</v>
      </c>
      <c r="J3" t="s">
        <v>94</v>
      </c>
      <c r="K3" t="s">
        <v>95</v>
      </c>
      <c r="L3" t="s">
        <v>96</v>
      </c>
      <c r="M3" t="s">
        <v>28</v>
      </c>
      <c r="N3" t="s">
        <v>97</v>
      </c>
      <c r="O3" t="s">
        <v>77</v>
      </c>
      <c r="P3" t="s">
        <v>98</v>
      </c>
    </row>
    <row r="4" spans="1:16">
      <c r="A4" t="s">
        <v>330</v>
      </c>
      <c r="B4" t="s">
        <v>331</v>
      </c>
      <c r="C4">
        <v>4.5</v>
      </c>
      <c r="D4">
        <v>-169</v>
      </c>
      <c r="E4" t="s">
        <v>21</v>
      </c>
      <c r="F4" t="s">
        <v>22</v>
      </c>
      <c r="G4" t="s">
        <v>23</v>
      </c>
      <c r="H4" t="s">
        <v>21</v>
      </c>
      <c r="I4" t="s">
        <v>332</v>
      </c>
      <c r="J4" t="s">
        <v>25</v>
      </c>
      <c r="K4" t="s">
        <v>52</v>
      </c>
      <c r="L4" t="s">
        <v>333</v>
      </c>
      <c r="M4" t="s">
        <v>28</v>
      </c>
      <c r="N4" t="s">
        <v>90</v>
      </c>
      <c r="O4" t="s">
        <v>77</v>
      </c>
      <c r="P4" t="s">
        <v>334</v>
      </c>
    </row>
    <row r="5" spans="1:16">
      <c r="A5" t="s">
        <v>627</v>
      </c>
      <c r="B5" t="s">
        <v>628</v>
      </c>
      <c r="C5">
        <v>5</v>
      </c>
      <c r="D5">
        <v>-2</v>
      </c>
      <c r="E5" t="s">
        <v>18</v>
      </c>
      <c r="F5" t="s">
        <v>22</v>
      </c>
      <c r="G5" t="s">
        <v>23</v>
      </c>
      <c r="H5" t="s">
        <v>21</v>
      </c>
      <c r="I5" t="s">
        <v>629</v>
      </c>
      <c r="J5" t="s">
        <v>184</v>
      </c>
      <c r="K5" t="s">
        <v>630</v>
      </c>
      <c r="L5" t="s">
        <v>631</v>
      </c>
      <c r="M5" t="s">
        <v>18</v>
      </c>
      <c r="N5" t="s">
        <v>385</v>
      </c>
      <c r="O5" t="s">
        <v>632</v>
      </c>
      <c r="P5" t="s">
        <v>580</v>
      </c>
    </row>
    <row r="6" spans="1:16">
      <c r="A6" t="s">
        <v>950</v>
      </c>
      <c r="B6" t="s">
        <v>951</v>
      </c>
      <c r="C6">
        <v>5</v>
      </c>
      <c r="D6">
        <v>-15</v>
      </c>
      <c r="E6" t="s">
        <v>21</v>
      </c>
      <c r="F6" t="s">
        <v>126</v>
      </c>
      <c r="G6" t="s">
        <v>35</v>
      </c>
      <c r="H6" t="s">
        <v>21</v>
      </c>
      <c r="I6" t="s">
        <v>952</v>
      </c>
      <c r="J6" t="s">
        <v>184</v>
      </c>
      <c r="K6" t="s">
        <v>236</v>
      </c>
      <c r="L6" t="s">
        <v>953</v>
      </c>
      <c r="M6" t="s">
        <v>18</v>
      </c>
      <c r="N6" t="s">
        <v>385</v>
      </c>
      <c r="O6" t="s">
        <v>643</v>
      </c>
      <c r="P6" t="s">
        <v>18</v>
      </c>
    </row>
    <row r="7" spans="1:16">
      <c r="A7" t="s">
        <v>610</v>
      </c>
      <c r="B7" t="s">
        <v>611</v>
      </c>
      <c r="C7">
        <v>4.5999999999999996</v>
      </c>
      <c r="D7">
        <v>-55</v>
      </c>
      <c r="E7" t="s">
        <v>21</v>
      </c>
      <c r="F7" t="s">
        <v>126</v>
      </c>
      <c r="G7" t="s">
        <v>35</v>
      </c>
      <c r="H7" t="s">
        <v>21</v>
      </c>
      <c r="I7" t="s">
        <v>612</v>
      </c>
      <c r="J7" t="s">
        <v>25</v>
      </c>
      <c r="K7" t="s">
        <v>52</v>
      </c>
      <c r="L7" t="s">
        <v>613</v>
      </c>
      <c r="M7" t="s">
        <v>28</v>
      </c>
      <c r="N7" t="s">
        <v>614</v>
      </c>
      <c r="O7" t="s">
        <v>77</v>
      </c>
      <c r="P7" t="s">
        <v>615</v>
      </c>
    </row>
    <row r="8" spans="1:16">
      <c r="A8" t="s">
        <v>181</v>
      </c>
      <c r="B8" t="s">
        <v>182</v>
      </c>
      <c r="C8">
        <v>4.7</v>
      </c>
      <c r="D8">
        <v>-103</v>
      </c>
      <c r="E8" t="s">
        <v>21</v>
      </c>
      <c r="F8" t="s">
        <v>126</v>
      </c>
      <c r="G8" t="s">
        <v>35</v>
      </c>
      <c r="H8" t="s">
        <v>21</v>
      </c>
      <c r="I8" t="s">
        <v>183</v>
      </c>
      <c r="J8" t="s">
        <v>184</v>
      </c>
      <c r="K8" t="s">
        <v>185</v>
      </c>
      <c r="L8" t="s">
        <v>186</v>
      </c>
      <c r="M8" t="s">
        <v>28</v>
      </c>
      <c r="N8" t="s">
        <v>62</v>
      </c>
      <c r="O8" t="s">
        <v>77</v>
      </c>
      <c r="P8" t="s">
        <v>187</v>
      </c>
    </row>
    <row r="9" spans="1:16">
      <c r="A9" t="s">
        <v>222</v>
      </c>
      <c r="B9" t="s">
        <v>223</v>
      </c>
      <c r="C9">
        <v>4.3</v>
      </c>
      <c r="D9">
        <v>-489</v>
      </c>
      <c r="E9" t="s">
        <v>21</v>
      </c>
      <c r="F9" t="s">
        <v>22</v>
      </c>
      <c r="G9" t="s">
        <v>23</v>
      </c>
      <c r="H9" t="s">
        <v>21</v>
      </c>
      <c r="I9" t="s">
        <v>21</v>
      </c>
      <c r="J9" t="s">
        <v>25</v>
      </c>
      <c r="K9" t="s">
        <v>224</v>
      </c>
      <c r="L9" t="s">
        <v>225</v>
      </c>
      <c r="M9" t="s">
        <v>28</v>
      </c>
      <c r="N9" t="s">
        <v>105</v>
      </c>
      <c r="O9" t="s">
        <v>48</v>
      </c>
      <c r="P9" t="s">
        <v>226</v>
      </c>
    </row>
    <row r="10" spans="1:16">
      <c r="A10" t="s">
        <v>954</v>
      </c>
      <c r="B10" t="s">
        <v>955</v>
      </c>
      <c r="C10">
        <v>4.5</v>
      </c>
      <c r="D10">
        <v>-86</v>
      </c>
      <c r="E10" t="s">
        <v>21</v>
      </c>
      <c r="F10" t="s">
        <v>126</v>
      </c>
      <c r="G10" t="s">
        <v>23</v>
      </c>
      <c r="H10" t="s">
        <v>21</v>
      </c>
      <c r="I10" t="s">
        <v>956</v>
      </c>
      <c r="J10" t="s">
        <v>184</v>
      </c>
      <c r="K10" t="s">
        <v>630</v>
      </c>
      <c r="L10" t="s">
        <v>957</v>
      </c>
      <c r="M10" t="s">
        <v>28</v>
      </c>
      <c r="N10" t="s">
        <v>958</v>
      </c>
      <c r="O10" t="s">
        <v>193</v>
      </c>
      <c r="P10" t="s">
        <v>959</v>
      </c>
    </row>
    <row r="11" spans="1:16">
      <c r="A11" t="s">
        <v>960</v>
      </c>
      <c r="B11" t="s">
        <v>961</v>
      </c>
      <c r="C11">
        <v>4.9000000000000004</v>
      </c>
      <c r="D11">
        <v>-452</v>
      </c>
      <c r="E11" t="s">
        <v>21</v>
      </c>
      <c r="F11" t="s">
        <v>34</v>
      </c>
      <c r="G11" t="s">
        <v>35</v>
      </c>
      <c r="H11" t="s">
        <v>21</v>
      </c>
      <c r="I11" t="s">
        <v>962</v>
      </c>
      <c r="J11" t="s">
        <v>25</v>
      </c>
      <c r="K11" t="s">
        <v>52</v>
      </c>
      <c r="L11" t="s">
        <v>963</v>
      </c>
      <c r="M11" t="s">
        <v>28</v>
      </c>
      <c r="N11" t="s">
        <v>964</v>
      </c>
      <c r="O11" t="s">
        <v>18</v>
      </c>
      <c r="P11" t="s">
        <v>18</v>
      </c>
    </row>
    <row r="12" spans="1:16">
      <c r="A12" t="s">
        <v>965</v>
      </c>
      <c r="B12" t="s">
        <v>966</v>
      </c>
      <c r="C12">
        <v>4.9000000000000004</v>
      </c>
      <c r="D12">
        <v>-39</v>
      </c>
      <c r="E12" t="s">
        <v>21</v>
      </c>
      <c r="F12" t="s">
        <v>126</v>
      </c>
      <c r="G12" t="s">
        <v>23</v>
      </c>
      <c r="H12" t="s">
        <v>21</v>
      </c>
      <c r="I12" t="s">
        <v>967</v>
      </c>
      <c r="J12" t="s">
        <v>25</v>
      </c>
      <c r="K12" t="s">
        <v>26</v>
      </c>
      <c r="L12" t="s">
        <v>968</v>
      </c>
      <c r="M12" t="s">
        <v>28</v>
      </c>
      <c r="N12" t="s">
        <v>294</v>
      </c>
      <c r="O12" t="s">
        <v>193</v>
      </c>
      <c r="P12" t="s">
        <v>969</v>
      </c>
    </row>
    <row r="13" spans="1:16">
      <c r="A13" t="s">
        <v>970</v>
      </c>
      <c r="B13" t="s">
        <v>971</v>
      </c>
      <c r="C13">
        <v>4.3</v>
      </c>
      <c r="D13">
        <v>-305</v>
      </c>
      <c r="E13" t="s">
        <v>21</v>
      </c>
      <c r="F13" t="s">
        <v>126</v>
      </c>
      <c r="G13" t="s">
        <v>35</v>
      </c>
      <c r="H13" t="s">
        <v>21</v>
      </c>
      <c r="I13" t="s">
        <v>21</v>
      </c>
      <c r="J13" t="s">
        <v>184</v>
      </c>
      <c r="K13" t="s">
        <v>185</v>
      </c>
      <c r="L13" t="s">
        <v>972</v>
      </c>
      <c r="M13" t="s">
        <v>28</v>
      </c>
      <c r="N13" t="s">
        <v>973</v>
      </c>
      <c r="O13" t="s">
        <v>18</v>
      </c>
      <c r="P13" t="s">
        <v>18</v>
      </c>
    </row>
    <row r="14" spans="1:16">
      <c r="A14" t="s">
        <v>687</v>
      </c>
      <c r="B14" t="s">
        <v>688</v>
      </c>
      <c r="C14">
        <v>4.0999999999999996</v>
      </c>
      <c r="D14">
        <v>-43</v>
      </c>
      <c r="E14" t="s">
        <v>21</v>
      </c>
      <c r="F14" t="s">
        <v>22</v>
      </c>
      <c r="G14" t="s">
        <v>23</v>
      </c>
      <c r="H14" t="s">
        <v>21</v>
      </c>
      <c r="I14" t="s">
        <v>689</v>
      </c>
      <c r="J14" t="s">
        <v>184</v>
      </c>
      <c r="K14" t="s">
        <v>690</v>
      </c>
      <c r="L14" t="s">
        <v>691</v>
      </c>
      <c r="M14" t="s">
        <v>28</v>
      </c>
      <c r="N14" t="s">
        <v>47</v>
      </c>
      <c r="O14" t="s">
        <v>193</v>
      </c>
      <c r="P14" t="s">
        <v>692</v>
      </c>
    </row>
    <row r="15" spans="1:16">
      <c r="A15" t="s">
        <v>974</v>
      </c>
      <c r="B15" t="s">
        <v>975</v>
      </c>
      <c r="C15">
        <v>4.3</v>
      </c>
      <c r="D15">
        <v>-16</v>
      </c>
      <c r="E15" t="s">
        <v>21</v>
      </c>
      <c r="F15" t="s">
        <v>126</v>
      </c>
      <c r="G15" t="s">
        <v>35</v>
      </c>
      <c r="H15" t="s">
        <v>21</v>
      </c>
      <c r="I15" t="s">
        <v>976</v>
      </c>
      <c r="J15" t="s">
        <v>184</v>
      </c>
      <c r="K15" t="s">
        <v>185</v>
      </c>
      <c r="L15" t="s">
        <v>977</v>
      </c>
      <c r="M15" t="s">
        <v>28</v>
      </c>
      <c r="N15" t="s">
        <v>978</v>
      </c>
      <c r="O15" t="s">
        <v>55</v>
      </c>
      <c r="P15" t="s">
        <v>155</v>
      </c>
    </row>
    <row r="16" spans="1:16">
      <c r="A16" t="s">
        <v>979</v>
      </c>
      <c r="B16" t="s">
        <v>980</v>
      </c>
      <c r="C16">
        <v>5</v>
      </c>
      <c r="D16">
        <v>-7</v>
      </c>
      <c r="E16" t="s">
        <v>21</v>
      </c>
      <c r="F16" t="s">
        <v>126</v>
      </c>
      <c r="G16" t="s">
        <v>23</v>
      </c>
      <c r="H16" t="s">
        <v>21</v>
      </c>
      <c r="I16" t="s">
        <v>981</v>
      </c>
      <c r="J16" t="s">
        <v>18</v>
      </c>
      <c r="K16" t="s">
        <v>18</v>
      </c>
      <c r="L16" t="s">
        <v>982</v>
      </c>
      <c r="M16" t="s">
        <v>28</v>
      </c>
      <c r="N16" t="s">
        <v>983</v>
      </c>
      <c r="O16" t="s">
        <v>77</v>
      </c>
      <c r="P16" t="s">
        <v>155</v>
      </c>
    </row>
    <row r="17" spans="1:16">
      <c r="A17" t="s">
        <v>984</v>
      </c>
      <c r="B17" t="s">
        <v>985</v>
      </c>
      <c r="C17">
        <v>4.5</v>
      </c>
      <c r="D17">
        <v>-159</v>
      </c>
      <c r="E17" t="s">
        <v>21</v>
      </c>
      <c r="F17" t="s">
        <v>126</v>
      </c>
      <c r="G17" t="s">
        <v>23</v>
      </c>
      <c r="H17" t="s">
        <v>21</v>
      </c>
      <c r="I17" t="s">
        <v>21</v>
      </c>
      <c r="J17" t="s">
        <v>94</v>
      </c>
      <c r="K17" t="s">
        <v>213</v>
      </c>
      <c r="L17" t="s">
        <v>986</v>
      </c>
      <c r="M17" t="s">
        <v>28</v>
      </c>
      <c r="N17" t="s">
        <v>987</v>
      </c>
      <c r="O17" t="s">
        <v>39</v>
      </c>
      <c r="P17" t="s">
        <v>988</v>
      </c>
    </row>
    <row r="18" spans="1:16">
      <c r="A18" t="s">
        <v>989</v>
      </c>
      <c r="B18" t="s">
        <v>990</v>
      </c>
      <c r="C18">
        <v>3.2</v>
      </c>
      <c r="D18">
        <v>-5</v>
      </c>
      <c r="E18" t="s">
        <v>18</v>
      </c>
      <c r="F18" t="s">
        <v>126</v>
      </c>
      <c r="G18" t="s">
        <v>23</v>
      </c>
      <c r="H18" t="s">
        <v>21</v>
      </c>
      <c r="I18" t="s">
        <v>991</v>
      </c>
      <c r="J18" t="s">
        <v>25</v>
      </c>
      <c r="K18" t="s">
        <v>74</v>
      </c>
      <c r="L18" t="s">
        <v>992</v>
      </c>
      <c r="M18" t="s">
        <v>18</v>
      </c>
      <c r="N18" t="s">
        <v>385</v>
      </c>
      <c r="O18" t="s">
        <v>643</v>
      </c>
      <c r="P18" t="s">
        <v>18</v>
      </c>
    </row>
    <row r="19" spans="1:16">
      <c r="A19" t="s">
        <v>993</v>
      </c>
      <c r="B19" t="s">
        <v>994</v>
      </c>
      <c r="C19">
        <v>4.4000000000000004</v>
      </c>
      <c r="D19">
        <v>-503</v>
      </c>
      <c r="E19" t="s">
        <v>18</v>
      </c>
      <c r="F19" t="s">
        <v>34</v>
      </c>
      <c r="G19" t="s">
        <v>102</v>
      </c>
      <c r="H19" t="s">
        <v>21</v>
      </c>
      <c r="I19" t="s">
        <v>995</v>
      </c>
      <c r="J19" t="s">
        <v>25</v>
      </c>
      <c r="K19" t="s">
        <v>26</v>
      </c>
      <c r="L19" t="s">
        <v>996</v>
      </c>
      <c r="M19" t="s">
        <v>28</v>
      </c>
      <c r="N19" t="s">
        <v>997</v>
      </c>
      <c r="O19" t="s">
        <v>18</v>
      </c>
      <c r="P19" t="s">
        <v>18</v>
      </c>
    </row>
    <row r="20" spans="1:16">
      <c r="A20" t="s">
        <v>998</v>
      </c>
      <c r="B20" t="s">
        <v>999</v>
      </c>
      <c r="C20">
        <v>4.9000000000000004</v>
      </c>
      <c r="D20">
        <v>-20</v>
      </c>
      <c r="E20" t="s">
        <v>18</v>
      </c>
      <c r="F20" t="s">
        <v>22</v>
      </c>
      <c r="G20" t="s">
        <v>35</v>
      </c>
      <c r="H20" t="s">
        <v>21</v>
      </c>
      <c r="I20" t="s">
        <v>1000</v>
      </c>
      <c r="J20" t="s">
        <v>18</v>
      </c>
      <c r="K20" t="s">
        <v>18</v>
      </c>
      <c r="L20" t="s">
        <v>1001</v>
      </c>
      <c r="M20" t="s">
        <v>28</v>
      </c>
      <c r="N20" t="s">
        <v>251</v>
      </c>
      <c r="O20" t="s">
        <v>1002</v>
      </c>
      <c r="P20" t="s">
        <v>1003</v>
      </c>
    </row>
    <row r="21" spans="1:16">
      <c r="A21" t="s">
        <v>1004</v>
      </c>
      <c r="B21" t="s">
        <v>1005</v>
      </c>
      <c r="E21" t="s">
        <v>18</v>
      </c>
      <c r="F21" t="s">
        <v>22</v>
      </c>
      <c r="G21" t="s">
        <v>23</v>
      </c>
      <c r="H21" t="s">
        <v>21</v>
      </c>
      <c r="I21" t="s">
        <v>1006</v>
      </c>
      <c r="J21" t="s">
        <v>94</v>
      </c>
      <c r="K21" t="s">
        <v>213</v>
      </c>
      <c r="L21" t="s">
        <v>1007</v>
      </c>
      <c r="M21" t="s">
        <v>18</v>
      </c>
      <c r="N21" t="s">
        <v>385</v>
      </c>
      <c r="O21" t="s">
        <v>18</v>
      </c>
      <c r="P21" t="s">
        <v>18</v>
      </c>
    </row>
    <row r="22" spans="1:16">
      <c r="A22" t="s">
        <v>18</v>
      </c>
      <c r="B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3495-70E9-4E0B-AD6C-9D1087E2BFAC}">
  <dimension ref="A1:R45"/>
  <sheetViews>
    <sheetView topLeftCell="L1" workbookViewId="0">
      <selection activeCell="B1" sqref="A1:B1048576"/>
    </sheetView>
  </sheetViews>
  <sheetFormatPr defaultRowHeight="15"/>
  <cols>
    <col min="1" max="1" width="81.140625" customWidth="1"/>
    <col min="2" max="2" width="60.85546875" bestFit="1" customWidth="1"/>
    <col min="3" max="3" width="10.7109375" bestFit="1" customWidth="1"/>
    <col min="4" max="4" width="8.7109375" bestFit="1" customWidth="1"/>
    <col min="5" max="5" width="20.28515625" bestFit="1" customWidth="1"/>
    <col min="6" max="6" width="11.5703125" bestFit="1" customWidth="1"/>
    <col min="7" max="7" width="33.140625" bestFit="1" customWidth="1"/>
    <col min="8" max="8" width="11.5703125" bestFit="1" customWidth="1"/>
    <col min="9" max="9" width="16" bestFit="1" customWidth="1"/>
    <col min="10" max="11" width="81.140625" bestFit="1" customWidth="1"/>
    <col min="12" max="12" width="70" bestFit="1" customWidth="1"/>
    <col min="13" max="13" width="16.140625" bestFit="1" customWidth="1"/>
    <col min="14" max="14" width="51.140625" bestFit="1" customWidth="1"/>
    <col min="15" max="15" width="9.42578125" bestFit="1" customWidth="1"/>
    <col min="16" max="16" width="10.85546875" bestFit="1" customWidth="1"/>
    <col min="17" max="17" width="9.7109375" bestFit="1" customWidth="1"/>
    <col min="18" max="18" width="52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4</v>
      </c>
      <c r="P1" t="s">
        <v>5</v>
      </c>
      <c r="Q1" t="s">
        <v>16</v>
      </c>
      <c r="R1" t="s">
        <v>17</v>
      </c>
    </row>
    <row r="2" spans="1:18">
      <c r="A2" t="s">
        <v>18</v>
      </c>
      <c r="B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>
      <c r="A3" t="s">
        <v>18</v>
      </c>
      <c r="B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</row>
    <row r="4" spans="1:18">
      <c r="A4" t="s">
        <v>770</v>
      </c>
      <c r="B4" t="s">
        <v>771</v>
      </c>
      <c r="C4">
        <v>5</v>
      </c>
      <c r="D4">
        <v>-56</v>
      </c>
      <c r="E4" t="s">
        <v>35</v>
      </c>
      <c r="F4" t="s">
        <v>21</v>
      </c>
      <c r="G4" t="s">
        <v>772</v>
      </c>
      <c r="H4" t="s">
        <v>184</v>
      </c>
      <c r="I4" t="s">
        <v>678</v>
      </c>
      <c r="J4" t="s">
        <v>773</v>
      </c>
      <c r="K4" t="s">
        <v>28</v>
      </c>
      <c r="L4" t="s">
        <v>130</v>
      </c>
      <c r="M4" t="s">
        <v>193</v>
      </c>
      <c r="N4" t="s">
        <v>774</v>
      </c>
      <c r="O4" t="s">
        <v>18</v>
      </c>
      <c r="P4" s="12" t="s">
        <v>18</v>
      </c>
      <c r="Q4" t="s">
        <v>18</v>
      </c>
      <c r="R4" t="s">
        <v>18</v>
      </c>
    </row>
    <row r="5" spans="1:18">
      <c r="A5" t="s">
        <v>775</v>
      </c>
      <c r="B5" t="s">
        <v>776</v>
      </c>
      <c r="C5">
        <v>4.7</v>
      </c>
      <c r="D5">
        <v>-312</v>
      </c>
      <c r="E5" t="s">
        <v>35</v>
      </c>
      <c r="F5" t="s">
        <v>21</v>
      </c>
      <c r="G5" t="s">
        <v>21</v>
      </c>
      <c r="H5" t="s">
        <v>184</v>
      </c>
      <c r="I5" t="s">
        <v>678</v>
      </c>
      <c r="J5" t="s">
        <v>777</v>
      </c>
      <c r="K5" t="s">
        <v>28</v>
      </c>
      <c r="L5" t="s">
        <v>778</v>
      </c>
      <c r="M5" t="s">
        <v>30</v>
      </c>
      <c r="N5" t="s">
        <v>779</v>
      </c>
      <c r="O5" t="s">
        <v>21</v>
      </c>
      <c r="P5" t="s">
        <v>22</v>
      </c>
      <c r="Q5" t="s">
        <v>57</v>
      </c>
      <c r="R5" t="s">
        <v>772</v>
      </c>
    </row>
    <row r="6" spans="1:18">
      <c r="A6" t="s">
        <v>780</v>
      </c>
      <c r="B6" t="s">
        <v>781</v>
      </c>
      <c r="C6">
        <v>4.5</v>
      </c>
      <c r="D6">
        <v>-738</v>
      </c>
      <c r="E6" t="s">
        <v>23</v>
      </c>
      <c r="F6" t="s">
        <v>21</v>
      </c>
      <c r="G6" t="s">
        <v>782</v>
      </c>
      <c r="H6" t="s">
        <v>184</v>
      </c>
      <c r="I6" t="s">
        <v>678</v>
      </c>
      <c r="J6" t="s">
        <v>783</v>
      </c>
      <c r="K6" t="s">
        <v>28</v>
      </c>
      <c r="L6" t="s">
        <v>784</v>
      </c>
      <c r="M6" t="s">
        <v>30</v>
      </c>
      <c r="N6" t="s">
        <v>785</v>
      </c>
      <c r="O6" t="s">
        <v>21</v>
      </c>
      <c r="P6" t="s">
        <v>34</v>
      </c>
      <c r="Q6" t="s">
        <v>18</v>
      </c>
      <c r="R6" t="s">
        <v>18</v>
      </c>
    </row>
    <row r="7" spans="1:18">
      <c r="A7" t="s">
        <v>786</v>
      </c>
      <c r="B7" t="s">
        <v>787</v>
      </c>
      <c r="C7">
        <v>4.5</v>
      </c>
      <c r="D7">
        <v>-370</v>
      </c>
      <c r="E7" t="s">
        <v>35</v>
      </c>
      <c r="F7" t="s">
        <v>21</v>
      </c>
      <c r="G7" t="s">
        <v>788</v>
      </c>
      <c r="H7" t="s">
        <v>184</v>
      </c>
      <c r="I7" t="s">
        <v>678</v>
      </c>
      <c r="J7" t="s">
        <v>789</v>
      </c>
      <c r="K7" t="s">
        <v>28</v>
      </c>
      <c r="L7" t="s">
        <v>790</v>
      </c>
      <c r="M7" t="s">
        <v>791</v>
      </c>
      <c r="N7" t="s">
        <v>792</v>
      </c>
      <c r="O7" t="s">
        <v>21</v>
      </c>
      <c r="P7" t="s">
        <v>165</v>
      </c>
      <c r="Q7" t="s">
        <v>18</v>
      </c>
      <c r="R7" t="s">
        <v>18</v>
      </c>
    </row>
    <row r="8" spans="1:18">
      <c r="A8" t="s">
        <v>793</v>
      </c>
      <c r="B8" t="s">
        <v>794</v>
      </c>
      <c r="C8">
        <v>4.9000000000000004</v>
      </c>
      <c r="D8">
        <v>-197</v>
      </c>
      <c r="E8" t="s">
        <v>35</v>
      </c>
      <c r="F8" t="s">
        <v>21</v>
      </c>
      <c r="G8" t="s">
        <v>795</v>
      </c>
      <c r="H8" t="s">
        <v>184</v>
      </c>
      <c r="I8" t="s">
        <v>243</v>
      </c>
      <c r="J8" t="s">
        <v>796</v>
      </c>
      <c r="K8" t="s">
        <v>28</v>
      </c>
      <c r="L8" t="s">
        <v>797</v>
      </c>
      <c r="M8" t="s">
        <v>798</v>
      </c>
      <c r="N8" t="s">
        <v>799</v>
      </c>
      <c r="O8" t="s">
        <v>21</v>
      </c>
      <c r="P8" t="s">
        <v>126</v>
      </c>
      <c r="Q8" t="s">
        <v>18</v>
      </c>
      <c r="R8" t="s">
        <v>18</v>
      </c>
    </row>
    <row r="9" spans="1:18">
      <c r="A9" t="s">
        <v>800</v>
      </c>
      <c r="B9" t="s">
        <v>801</v>
      </c>
      <c r="C9">
        <v>4.8</v>
      </c>
      <c r="D9">
        <v>-659</v>
      </c>
      <c r="E9" t="s">
        <v>35</v>
      </c>
      <c r="F9" t="s">
        <v>21</v>
      </c>
      <c r="G9" t="s">
        <v>21</v>
      </c>
      <c r="H9" t="s">
        <v>184</v>
      </c>
      <c r="I9" t="s">
        <v>243</v>
      </c>
      <c r="J9" t="s">
        <v>802</v>
      </c>
      <c r="K9" t="s">
        <v>28</v>
      </c>
      <c r="L9" t="s">
        <v>803</v>
      </c>
      <c r="M9" t="s">
        <v>18</v>
      </c>
      <c r="N9" t="s">
        <v>18</v>
      </c>
      <c r="O9" t="s">
        <v>21</v>
      </c>
      <c r="P9" t="s">
        <v>22</v>
      </c>
      <c r="Q9" t="s">
        <v>41</v>
      </c>
      <c r="R9" t="s">
        <v>804</v>
      </c>
    </row>
    <row r="10" spans="1:18">
      <c r="A10" t="s">
        <v>805</v>
      </c>
      <c r="B10" t="s">
        <v>806</v>
      </c>
      <c r="C10">
        <v>4.7</v>
      </c>
      <c r="D10">
        <v>-252</v>
      </c>
      <c r="E10" t="s">
        <v>35</v>
      </c>
      <c r="F10" t="s">
        <v>21</v>
      </c>
      <c r="G10" t="s">
        <v>21</v>
      </c>
      <c r="H10" t="s">
        <v>25</v>
      </c>
      <c r="I10" t="s">
        <v>52</v>
      </c>
      <c r="J10" t="s">
        <v>807</v>
      </c>
      <c r="K10" t="s">
        <v>28</v>
      </c>
      <c r="L10" t="s">
        <v>808</v>
      </c>
      <c r="M10" t="s">
        <v>18</v>
      </c>
      <c r="N10" t="s">
        <v>18</v>
      </c>
      <c r="O10" t="s">
        <v>21</v>
      </c>
      <c r="P10" t="s">
        <v>22</v>
      </c>
      <c r="Q10" t="s">
        <v>57</v>
      </c>
      <c r="R10" t="s">
        <v>809</v>
      </c>
    </row>
    <row r="11" spans="1:18">
      <c r="A11" t="s">
        <v>810</v>
      </c>
      <c r="B11" t="s">
        <v>811</v>
      </c>
      <c r="C11">
        <v>4.9000000000000004</v>
      </c>
      <c r="D11">
        <v>-767</v>
      </c>
      <c r="E11" t="s">
        <v>35</v>
      </c>
      <c r="F11" t="s">
        <v>21</v>
      </c>
      <c r="G11" t="s">
        <v>812</v>
      </c>
      <c r="H11" t="s">
        <v>25</v>
      </c>
      <c r="I11" t="s">
        <v>52</v>
      </c>
      <c r="J11" t="s">
        <v>813</v>
      </c>
      <c r="K11" t="s">
        <v>28</v>
      </c>
      <c r="L11" t="s">
        <v>105</v>
      </c>
      <c r="M11" t="s">
        <v>48</v>
      </c>
      <c r="N11" t="s">
        <v>814</v>
      </c>
      <c r="O11" t="s">
        <v>18</v>
      </c>
      <c r="P11" t="s">
        <v>18</v>
      </c>
      <c r="Q11" t="s">
        <v>18</v>
      </c>
      <c r="R11" t="s">
        <v>18</v>
      </c>
    </row>
    <row r="12" spans="1:18">
      <c r="A12" t="s">
        <v>815</v>
      </c>
      <c r="B12" t="s">
        <v>816</v>
      </c>
      <c r="C12">
        <v>4.5999999999999996</v>
      </c>
      <c r="D12">
        <v>-420</v>
      </c>
      <c r="E12" t="s">
        <v>102</v>
      </c>
      <c r="F12" t="s">
        <v>21</v>
      </c>
      <c r="G12" t="s">
        <v>817</v>
      </c>
      <c r="H12" t="s">
        <v>25</v>
      </c>
      <c r="I12" t="s">
        <v>128</v>
      </c>
      <c r="J12" t="s">
        <v>818</v>
      </c>
      <c r="K12" t="s">
        <v>28</v>
      </c>
      <c r="L12" t="s">
        <v>819</v>
      </c>
      <c r="M12" t="s">
        <v>77</v>
      </c>
      <c r="N12" t="s">
        <v>820</v>
      </c>
      <c r="O12" t="s">
        <v>21</v>
      </c>
      <c r="P12" t="s">
        <v>22</v>
      </c>
      <c r="Q12" t="s">
        <v>18</v>
      </c>
      <c r="R12" t="s">
        <v>18</v>
      </c>
    </row>
    <row r="13" spans="1:18">
      <c r="A13" t="s">
        <v>821</v>
      </c>
      <c r="B13" t="s">
        <v>822</v>
      </c>
      <c r="C13">
        <v>5</v>
      </c>
      <c r="D13">
        <v>-6</v>
      </c>
      <c r="E13" t="s">
        <v>23</v>
      </c>
      <c r="F13" t="s">
        <v>21</v>
      </c>
      <c r="G13" t="s">
        <v>823</v>
      </c>
      <c r="H13" t="s">
        <v>184</v>
      </c>
      <c r="I13" t="s">
        <v>185</v>
      </c>
      <c r="J13" t="s">
        <v>824</v>
      </c>
      <c r="K13" t="s">
        <v>28</v>
      </c>
      <c r="L13" t="s">
        <v>825</v>
      </c>
      <c r="M13" t="s">
        <v>193</v>
      </c>
      <c r="N13" t="s">
        <v>527</v>
      </c>
      <c r="O13" t="s">
        <v>18</v>
      </c>
      <c r="P13" t="s">
        <v>18</v>
      </c>
      <c r="Q13" t="s">
        <v>18</v>
      </c>
      <c r="R13" t="s">
        <v>18</v>
      </c>
    </row>
    <row r="14" spans="1:18">
      <c r="A14" t="s">
        <v>826</v>
      </c>
      <c r="B14" t="s">
        <v>827</v>
      </c>
      <c r="C14">
        <v>4.5999999999999996</v>
      </c>
      <c r="D14">
        <v>-10</v>
      </c>
      <c r="E14" t="s">
        <v>35</v>
      </c>
      <c r="F14" t="s">
        <v>21</v>
      </c>
      <c r="G14" t="s">
        <v>21</v>
      </c>
      <c r="H14" t="s">
        <v>184</v>
      </c>
      <c r="I14" t="s">
        <v>828</v>
      </c>
      <c r="J14" t="s">
        <v>829</v>
      </c>
      <c r="K14" t="s">
        <v>18</v>
      </c>
      <c r="L14" t="s">
        <v>385</v>
      </c>
      <c r="M14" t="s">
        <v>579</v>
      </c>
      <c r="N14" t="s">
        <v>580</v>
      </c>
      <c r="O14" t="s">
        <v>18</v>
      </c>
      <c r="P14" s="12" t="s">
        <v>18</v>
      </c>
      <c r="Q14" t="s">
        <v>41</v>
      </c>
      <c r="R14" t="s">
        <v>830</v>
      </c>
    </row>
    <row r="15" spans="1:18">
      <c r="A15" t="s">
        <v>831</v>
      </c>
      <c r="B15" t="s">
        <v>832</v>
      </c>
      <c r="C15">
        <v>4.9000000000000004</v>
      </c>
      <c r="D15">
        <v>-53</v>
      </c>
      <c r="E15" t="s">
        <v>35</v>
      </c>
      <c r="F15" t="s">
        <v>21</v>
      </c>
      <c r="G15" t="s">
        <v>833</v>
      </c>
      <c r="H15" t="s">
        <v>184</v>
      </c>
      <c r="I15" t="s">
        <v>243</v>
      </c>
      <c r="J15" t="s">
        <v>834</v>
      </c>
      <c r="K15" t="s">
        <v>28</v>
      </c>
      <c r="L15" t="s">
        <v>835</v>
      </c>
      <c r="M15" t="s">
        <v>77</v>
      </c>
      <c r="N15" t="s">
        <v>836</v>
      </c>
      <c r="O15" t="s">
        <v>21</v>
      </c>
      <c r="P15" t="s">
        <v>126</v>
      </c>
      <c r="Q15" t="s">
        <v>18</v>
      </c>
      <c r="R15" t="s">
        <v>18</v>
      </c>
    </row>
    <row r="16" spans="1:18">
      <c r="A16" t="s">
        <v>837</v>
      </c>
      <c r="B16" t="s">
        <v>838</v>
      </c>
      <c r="C16">
        <v>4.9000000000000004</v>
      </c>
      <c r="D16">
        <v>-53</v>
      </c>
      <c r="E16" t="s">
        <v>35</v>
      </c>
      <c r="F16" t="s">
        <v>21</v>
      </c>
      <c r="G16" t="s">
        <v>839</v>
      </c>
      <c r="H16" t="s">
        <v>184</v>
      </c>
      <c r="I16" t="s">
        <v>507</v>
      </c>
      <c r="J16" t="s">
        <v>840</v>
      </c>
      <c r="K16" t="s">
        <v>28</v>
      </c>
      <c r="L16" t="s">
        <v>841</v>
      </c>
      <c r="M16" t="s">
        <v>77</v>
      </c>
      <c r="N16" t="s">
        <v>842</v>
      </c>
      <c r="O16" t="s">
        <v>21</v>
      </c>
      <c r="P16" t="s">
        <v>126</v>
      </c>
      <c r="Q16" t="s">
        <v>18</v>
      </c>
      <c r="R16" t="s">
        <v>18</v>
      </c>
    </row>
    <row r="17" spans="1:18">
      <c r="A17" t="s">
        <v>843</v>
      </c>
      <c r="B17" t="s">
        <v>844</v>
      </c>
      <c r="C17">
        <v>5</v>
      </c>
      <c r="D17">
        <v>-1</v>
      </c>
      <c r="E17" t="s">
        <v>35</v>
      </c>
      <c r="F17" t="s">
        <v>21</v>
      </c>
      <c r="G17" t="s">
        <v>845</v>
      </c>
      <c r="H17" t="s">
        <v>184</v>
      </c>
      <c r="I17" t="s">
        <v>828</v>
      </c>
      <c r="J17" t="s">
        <v>846</v>
      </c>
      <c r="K17" t="s">
        <v>28</v>
      </c>
      <c r="L17" t="s">
        <v>847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8">
      <c r="A18" t="s">
        <v>848</v>
      </c>
      <c r="B18" t="s">
        <v>849</v>
      </c>
      <c r="C18">
        <v>4.7</v>
      </c>
      <c r="D18">
        <v>-38</v>
      </c>
      <c r="E18" t="s">
        <v>23</v>
      </c>
      <c r="F18" t="s">
        <v>21</v>
      </c>
      <c r="G18" t="s">
        <v>850</v>
      </c>
      <c r="H18" t="s">
        <v>184</v>
      </c>
      <c r="I18" t="s">
        <v>236</v>
      </c>
      <c r="J18" t="s">
        <v>851</v>
      </c>
      <c r="K18" t="s">
        <v>28</v>
      </c>
      <c r="L18" t="s">
        <v>852</v>
      </c>
      <c r="M18" t="s">
        <v>193</v>
      </c>
      <c r="N18" t="s">
        <v>527</v>
      </c>
      <c r="O18" t="s">
        <v>21</v>
      </c>
      <c r="P18" t="s">
        <v>126</v>
      </c>
      <c r="Q18" t="s">
        <v>18</v>
      </c>
      <c r="R18" t="s">
        <v>18</v>
      </c>
    </row>
    <row r="19" spans="1:18">
      <c r="A19" t="s">
        <v>853</v>
      </c>
      <c r="B19" t="s">
        <v>854</v>
      </c>
      <c r="C19">
        <v>4.2</v>
      </c>
      <c r="D19">
        <v>-43</v>
      </c>
      <c r="E19" t="s">
        <v>23</v>
      </c>
      <c r="F19" t="s">
        <v>21</v>
      </c>
      <c r="G19" t="s">
        <v>855</v>
      </c>
      <c r="H19" t="s">
        <v>184</v>
      </c>
      <c r="I19" t="s">
        <v>507</v>
      </c>
      <c r="J19" t="s">
        <v>856</v>
      </c>
      <c r="K19" t="s">
        <v>28</v>
      </c>
      <c r="L19" t="s">
        <v>857</v>
      </c>
      <c r="M19" t="s">
        <v>77</v>
      </c>
      <c r="N19" t="s">
        <v>858</v>
      </c>
      <c r="O19" t="s">
        <v>21</v>
      </c>
      <c r="P19" t="s">
        <v>126</v>
      </c>
      <c r="Q19" t="s">
        <v>18</v>
      </c>
      <c r="R19" t="s">
        <v>18</v>
      </c>
    </row>
    <row r="20" spans="1:18">
      <c r="A20" t="s">
        <v>859</v>
      </c>
      <c r="B20" t="s">
        <v>860</v>
      </c>
      <c r="C20">
        <v>4.9000000000000004</v>
      </c>
      <c r="D20">
        <v>-686</v>
      </c>
      <c r="E20" t="s">
        <v>35</v>
      </c>
      <c r="F20" t="s">
        <v>21</v>
      </c>
      <c r="G20" t="s">
        <v>861</v>
      </c>
      <c r="H20" t="s">
        <v>25</v>
      </c>
      <c r="I20" t="s">
        <v>135</v>
      </c>
      <c r="J20" t="s">
        <v>862</v>
      </c>
      <c r="K20" t="s">
        <v>28</v>
      </c>
      <c r="L20" t="s">
        <v>863</v>
      </c>
      <c r="M20" t="s">
        <v>77</v>
      </c>
      <c r="N20" t="s">
        <v>864</v>
      </c>
      <c r="O20" t="s">
        <v>21</v>
      </c>
      <c r="P20" t="s">
        <v>22</v>
      </c>
      <c r="Q20" t="s">
        <v>18</v>
      </c>
      <c r="R20" t="s">
        <v>18</v>
      </c>
    </row>
    <row r="21" spans="1:18">
      <c r="A21" t="s">
        <v>865</v>
      </c>
      <c r="B21" t="s">
        <v>866</v>
      </c>
      <c r="C21">
        <v>5</v>
      </c>
      <c r="D21">
        <v>-2</v>
      </c>
      <c r="E21" t="s">
        <v>35</v>
      </c>
      <c r="F21" t="s">
        <v>21</v>
      </c>
      <c r="G21" t="s">
        <v>867</v>
      </c>
      <c r="H21" t="s">
        <v>184</v>
      </c>
      <c r="I21" t="s">
        <v>243</v>
      </c>
      <c r="J21" t="s">
        <v>868</v>
      </c>
      <c r="K21" t="s">
        <v>28</v>
      </c>
      <c r="L21" t="s">
        <v>869</v>
      </c>
      <c r="M21" t="s">
        <v>77</v>
      </c>
      <c r="N21" t="s">
        <v>870</v>
      </c>
      <c r="O21" t="s">
        <v>18</v>
      </c>
      <c r="P21" t="s">
        <v>18</v>
      </c>
      <c r="Q21" t="s">
        <v>18</v>
      </c>
      <c r="R21" t="s">
        <v>18</v>
      </c>
    </row>
    <row r="22" spans="1:18">
      <c r="A22" t="s">
        <v>871</v>
      </c>
      <c r="B22" t="s">
        <v>872</v>
      </c>
      <c r="C22">
        <v>4.2</v>
      </c>
      <c r="D22">
        <v>-276</v>
      </c>
      <c r="E22" t="s">
        <v>35</v>
      </c>
      <c r="F22" t="s">
        <v>21</v>
      </c>
      <c r="G22" t="s">
        <v>21</v>
      </c>
      <c r="H22" t="s">
        <v>94</v>
      </c>
      <c r="I22" t="s">
        <v>873</v>
      </c>
      <c r="J22" t="s">
        <v>874</v>
      </c>
      <c r="K22" t="s">
        <v>28</v>
      </c>
      <c r="L22" t="s">
        <v>875</v>
      </c>
      <c r="M22" t="s">
        <v>77</v>
      </c>
      <c r="N22" t="s">
        <v>876</v>
      </c>
      <c r="O22" t="s">
        <v>21</v>
      </c>
      <c r="P22" t="s">
        <v>22</v>
      </c>
      <c r="Q22" t="s">
        <v>57</v>
      </c>
      <c r="R22" t="s">
        <v>877</v>
      </c>
    </row>
    <row r="23" spans="1:18">
      <c r="A23" t="s">
        <v>878</v>
      </c>
      <c r="B23" t="s">
        <v>879</v>
      </c>
      <c r="C23">
        <v>4.7</v>
      </c>
      <c r="D23">
        <v>-226</v>
      </c>
      <c r="E23" t="s">
        <v>35</v>
      </c>
      <c r="F23" t="s">
        <v>21</v>
      </c>
      <c r="G23" t="s">
        <v>880</v>
      </c>
      <c r="H23" t="s">
        <v>25</v>
      </c>
      <c r="I23" t="s">
        <v>128</v>
      </c>
      <c r="J23" t="s">
        <v>881</v>
      </c>
      <c r="K23" t="s">
        <v>28</v>
      </c>
      <c r="L23" t="s">
        <v>105</v>
      </c>
      <c r="M23" t="s">
        <v>30</v>
      </c>
      <c r="N23" t="s">
        <v>882</v>
      </c>
      <c r="O23" t="s">
        <v>21</v>
      </c>
      <c r="P23" t="s">
        <v>34</v>
      </c>
      <c r="Q23" t="s">
        <v>18</v>
      </c>
      <c r="R23" t="s">
        <v>18</v>
      </c>
    </row>
    <row r="24" spans="1:18">
      <c r="A24" t="s">
        <v>379</v>
      </c>
      <c r="B24" t="s">
        <v>380</v>
      </c>
      <c r="C24">
        <v>4.9000000000000004</v>
      </c>
      <c r="D24">
        <v>-333</v>
      </c>
      <c r="E24" t="s">
        <v>381</v>
      </c>
      <c r="F24" t="s">
        <v>21</v>
      </c>
      <c r="G24" t="s">
        <v>382</v>
      </c>
      <c r="H24" t="s">
        <v>25</v>
      </c>
      <c r="I24" t="s">
        <v>26</v>
      </c>
      <c r="J24" t="s">
        <v>383</v>
      </c>
      <c r="K24" t="s">
        <v>384</v>
      </c>
      <c r="L24" t="s">
        <v>385</v>
      </c>
      <c r="M24" t="s">
        <v>386</v>
      </c>
      <c r="N24" t="s">
        <v>18</v>
      </c>
      <c r="O24" t="s">
        <v>18</v>
      </c>
      <c r="P24" s="12" t="s">
        <v>18</v>
      </c>
      <c r="Q24" t="s">
        <v>18</v>
      </c>
      <c r="R24" t="s">
        <v>18</v>
      </c>
    </row>
    <row r="25" spans="1:18">
      <c r="A25" t="s">
        <v>335</v>
      </c>
      <c r="B25" t="s">
        <v>336</v>
      </c>
      <c r="C25">
        <v>4.8</v>
      </c>
      <c r="D25">
        <v>-313</v>
      </c>
      <c r="E25" t="s">
        <v>35</v>
      </c>
      <c r="F25" t="s">
        <v>21</v>
      </c>
      <c r="G25" t="s">
        <v>337</v>
      </c>
      <c r="H25" t="s">
        <v>25</v>
      </c>
      <c r="I25" t="s">
        <v>81</v>
      </c>
      <c r="J25" t="s">
        <v>338</v>
      </c>
      <c r="K25" t="s">
        <v>28</v>
      </c>
      <c r="L25" t="s">
        <v>339</v>
      </c>
      <c r="M25" t="s">
        <v>77</v>
      </c>
      <c r="N25" t="s">
        <v>340</v>
      </c>
      <c r="O25" t="s">
        <v>21</v>
      </c>
      <c r="P25" t="s">
        <v>22</v>
      </c>
      <c r="Q25" t="s">
        <v>18</v>
      </c>
      <c r="R25" t="s">
        <v>18</v>
      </c>
    </row>
    <row r="26" spans="1:18">
      <c r="A26" t="s">
        <v>883</v>
      </c>
      <c r="B26" t="s">
        <v>884</v>
      </c>
      <c r="C26">
        <v>4.7</v>
      </c>
      <c r="D26">
        <v>-133</v>
      </c>
      <c r="E26" t="s">
        <v>102</v>
      </c>
      <c r="F26" t="s">
        <v>21</v>
      </c>
      <c r="G26" t="s">
        <v>885</v>
      </c>
      <c r="H26" t="s">
        <v>25</v>
      </c>
      <c r="I26" t="s">
        <v>52</v>
      </c>
      <c r="J26" t="s">
        <v>886</v>
      </c>
      <c r="K26" t="s">
        <v>28</v>
      </c>
      <c r="L26" t="s">
        <v>887</v>
      </c>
      <c r="M26" t="s">
        <v>55</v>
      </c>
      <c r="N26" t="s">
        <v>70</v>
      </c>
      <c r="O26" t="s">
        <v>21</v>
      </c>
      <c r="P26" t="s">
        <v>22</v>
      </c>
      <c r="Q26" t="s">
        <v>18</v>
      </c>
      <c r="R26" t="s">
        <v>18</v>
      </c>
    </row>
    <row r="27" spans="1:18">
      <c r="A27" t="s">
        <v>325</v>
      </c>
      <c r="B27" t="s">
        <v>326</v>
      </c>
      <c r="C27">
        <v>4.8</v>
      </c>
      <c r="D27">
        <v>-809</v>
      </c>
      <c r="E27" t="s">
        <v>35</v>
      </c>
      <c r="F27" t="s">
        <v>21</v>
      </c>
      <c r="G27" t="s">
        <v>21</v>
      </c>
      <c r="H27" t="s">
        <v>25</v>
      </c>
      <c r="I27" t="s">
        <v>52</v>
      </c>
      <c r="J27" t="s">
        <v>327</v>
      </c>
      <c r="K27" t="s">
        <v>28</v>
      </c>
      <c r="L27" t="s">
        <v>90</v>
      </c>
      <c r="M27" t="s">
        <v>48</v>
      </c>
      <c r="N27" t="s">
        <v>328</v>
      </c>
      <c r="O27" t="s">
        <v>18</v>
      </c>
      <c r="P27" t="s">
        <v>18</v>
      </c>
      <c r="Q27" t="s">
        <v>41</v>
      </c>
      <c r="R27" t="s">
        <v>329</v>
      </c>
    </row>
    <row r="28" spans="1:18">
      <c r="A28" t="s">
        <v>301</v>
      </c>
      <c r="B28" t="s">
        <v>302</v>
      </c>
      <c r="C28">
        <v>4.5</v>
      </c>
      <c r="D28">
        <v>-69</v>
      </c>
      <c r="E28" t="s">
        <v>35</v>
      </c>
      <c r="F28" t="s">
        <v>21</v>
      </c>
      <c r="G28" t="s">
        <v>303</v>
      </c>
      <c r="H28" t="s">
        <v>184</v>
      </c>
      <c r="I28" t="s">
        <v>304</v>
      </c>
      <c r="J28" t="s">
        <v>305</v>
      </c>
      <c r="K28" t="s">
        <v>28</v>
      </c>
      <c r="L28" t="s">
        <v>306</v>
      </c>
      <c r="M28" t="s">
        <v>18</v>
      </c>
      <c r="N28" t="s">
        <v>18</v>
      </c>
      <c r="O28" t="s">
        <v>21</v>
      </c>
      <c r="P28" t="s">
        <v>126</v>
      </c>
      <c r="Q28" t="s">
        <v>18</v>
      </c>
      <c r="R28" t="s">
        <v>18</v>
      </c>
    </row>
    <row r="29" spans="1:18">
      <c r="A29" t="s">
        <v>307</v>
      </c>
      <c r="B29" t="s">
        <v>308</v>
      </c>
      <c r="C29">
        <v>4.3</v>
      </c>
      <c r="D29">
        <v>-608</v>
      </c>
      <c r="E29" t="s">
        <v>35</v>
      </c>
      <c r="F29" t="s">
        <v>21</v>
      </c>
      <c r="G29" t="s">
        <v>21</v>
      </c>
      <c r="H29" t="s">
        <v>184</v>
      </c>
      <c r="I29" t="s">
        <v>236</v>
      </c>
      <c r="J29" t="s">
        <v>309</v>
      </c>
      <c r="K29" t="s">
        <v>28</v>
      </c>
      <c r="L29" t="s">
        <v>310</v>
      </c>
      <c r="M29" t="s">
        <v>30</v>
      </c>
      <c r="N29" t="s">
        <v>311</v>
      </c>
      <c r="O29" t="s">
        <v>21</v>
      </c>
      <c r="P29" t="s">
        <v>126</v>
      </c>
      <c r="Q29" t="s">
        <v>41</v>
      </c>
      <c r="R29" t="s">
        <v>207</v>
      </c>
    </row>
    <row r="30" spans="1:18">
      <c r="A30" t="s">
        <v>351</v>
      </c>
      <c r="B30" t="s">
        <v>352</v>
      </c>
      <c r="C30">
        <v>4.3</v>
      </c>
      <c r="D30">
        <v>-1061</v>
      </c>
      <c r="E30" t="s">
        <v>23</v>
      </c>
      <c r="F30" t="s">
        <v>21</v>
      </c>
      <c r="G30" t="s">
        <v>21</v>
      </c>
      <c r="H30" t="s">
        <v>94</v>
      </c>
      <c r="I30" t="s">
        <v>873</v>
      </c>
      <c r="J30" t="s">
        <v>353</v>
      </c>
      <c r="K30" t="s">
        <v>28</v>
      </c>
      <c r="L30" t="s">
        <v>105</v>
      </c>
      <c r="M30" t="s">
        <v>48</v>
      </c>
      <c r="N30" t="s">
        <v>354</v>
      </c>
      <c r="O30" t="s">
        <v>21</v>
      </c>
      <c r="P30" t="s">
        <v>22</v>
      </c>
      <c r="Q30" t="s">
        <v>41</v>
      </c>
      <c r="R30" t="s">
        <v>355</v>
      </c>
    </row>
    <row r="31" spans="1:18">
      <c r="A31" t="s">
        <v>888</v>
      </c>
      <c r="B31" t="s">
        <v>889</v>
      </c>
      <c r="C31">
        <v>4.9000000000000004</v>
      </c>
      <c r="D31">
        <v>-15</v>
      </c>
      <c r="E31" t="s">
        <v>35</v>
      </c>
      <c r="F31" t="s">
        <v>21</v>
      </c>
      <c r="G31" t="s">
        <v>890</v>
      </c>
      <c r="H31" t="s">
        <v>25</v>
      </c>
      <c r="I31" t="s">
        <v>135</v>
      </c>
      <c r="J31" t="s">
        <v>891</v>
      </c>
      <c r="K31" t="s">
        <v>18</v>
      </c>
      <c r="L31" t="s">
        <v>385</v>
      </c>
      <c r="M31" t="s">
        <v>643</v>
      </c>
      <c r="N31" t="s">
        <v>18</v>
      </c>
      <c r="O31" t="s">
        <v>21</v>
      </c>
      <c r="P31" t="s">
        <v>126</v>
      </c>
      <c r="Q31" t="s">
        <v>18</v>
      </c>
      <c r="R31" t="s">
        <v>18</v>
      </c>
    </row>
    <row r="32" spans="1:18">
      <c r="A32" t="s">
        <v>346</v>
      </c>
      <c r="B32" t="s">
        <v>347</v>
      </c>
      <c r="C32">
        <v>4.5</v>
      </c>
      <c r="D32">
        <v>-662</v>
      </c>
      <c r="E32" t="s">
        <v>23</v>
      </c>
      <c r="F32" t="s">
        <v>21</v>
      </c>
      <c r="G32" t="s">
        <v>21</v>
      </c>
      <c r="H32" t="s">
        <v>25</v>
      </c>
      <c r="I32" t="s">
        <v>36</v>
      </c>
      <c r="J32" t="s">
        <v>348</v>
      </c>
      <c r="K32" t="s">
        <v>28</v>
      </c>
      <c r="L32" t="s">
        <v>105</v>
      </c>
      <c r="M32" t="s">
        <v>48</v>
      </c>
      <c r="N32" t="s">
        <v>349</v>
      </c>
      <c r="O32" t="s">
        <v>21</v>
      </c>
      <c r="P32" t="s">
        <v>126</v>
      </c>
      <c r="Q32" t="s">
        <v>57</v>
      </c>
      <c r="R32" t="s">
        <v>350</v>
      </c>
    </row>
    <row r="33" spans="1:18">
      <c r="A33" t="s">
        <v>892</v>
      </c>
      <c r="B33" t="s">
        <v>893</v>
      </c>
      <c r="C33">
        <v>4.8</v>
      </c>
      <c r="D33">
        <v>-136</v>
      </c>
      <c r="E33" t="s">
        <v>894</v>
      </c>
      <c r="F33" t="s">
        <v>21</v>
      </c>
      <c r="G33" t="s">
        <v>895</v>
      </c>
      <c r="H33" t="s">
        <v>25</v>
      </c>
      <c r="I33" t="s">
        <v>135</v>
      </c>
      <c r="J33" t="s">
        <v>896</v>
      </c>
      <c r="K33" t="s">
        <v>28</v>
      </c>
      <c r="L33" t="s">
        <v>130</v>
      </c>
      <c r="M33" t="s">
        <v>193</v>
      </c>
      <c r="N33" t="s">
        <v>897</v>
      </c>
      <c r="O33" t="s">
        <v>18</v>
      </c>
      <c r="P33" t="s">
        <v>18</v>
      </c>
      <c r="Q33" t="s">
        <v>18</v>
      </c>
      <c r="R33" t="s">
        <v>18</v>
      </c>
    </row>
    <row r="34" spans="1:18">
      <c r="A34" t="s">
        <v>898</v>
      </c>
      <c r="B34" t="s">
        <v>899</v>
      </c>
      <c r="C34">
        <v>4.0999999999999996</v>
      </c>
      <c r="D34">
        <v>-104</v>
      </c>
      <c r="E34" t="s">
        <v>23</v>
      </c>
      <c r="F34" t="s">
        <v>21</v>
      </c>
      <c r="G34" t="s">
        <v>900</v>
      </c>
      <c r="H34" t="s">
        <v>184</v>
      </c>
      <c r="I34" t="s">
        <v>262</v>
      </c>
      <c r="J34" t="s">
        <v>901</v>
      </c>
      <c r="K34" t="s">
        <v>28</v>
      </c>
      <c r="L34" t="s">
        <v>902</v>
      </c>
      <c r="M34" t="s">
        <v>18</v>
      </c>
      <c r="N34" t="s">
        <v>18</v>
      </c>
      <c r="O34" t="s">
        <v>21</v>
      </c>
      <c r="P34" t="s">
        <v>126</v>
      </c>
      <c r="Q34" t="s">
        <v>18</v>
      </c>
      <c r="R34" t="s">
        <v>18</v>
      </c>
    </row>
    <row r="35" spans="1:18">
      <c r="A35" t="s">
        <v>903</v>
      </c>
      <c r="B35" t="s">
        <v>904</v>
      </c>
      <c r="C35">
        <v>4.3</v>
      </c>
      <c r="D35">
        <v>-642</v>
      </c>
      <c r="E35" t="s">
        <v>23</v>
      </c>
      <c r="F35" t="s">
        <v>21</v>
      </c>
      <c r="G35" t="s">
        <v>905</v>
      </c>
      <c r="H35" t="s">
        <v>25</v>
      </c>
      <c r="I35" t="s">
        <v>36</v>
      </c>
      <c r="J35" t="s">
        <v>906</v>
      </c>
      <c r="K35" t="s">
        <v>28</v>
      </c>
      <c r="L35" t="s">
        <v>907</v>
      </c>
      <c r="M35" t="s">
        <v>18</v>
      </c>
      <c r="N35" t="s">
        <v>18</v>
      </c>
      <c r="O35" t="s">
        <v>21</v>
      </c>
      <c r="P35" t="s">
        <v>22</v>
      </c>
      <c r="Q35" t="s">
        <v>18</v>
      </c>
      <c r="R35" t="s">
        <v>18</v>
      </c>
    </row>
    <row r="36" spans="1:18">
      <c r="A36" t="s">
        <v>908</v>
      </c>
      <c r="B36" t="s">
        <v>909</v>
      </c>
      <c r="C36">
        <v>4.3</v>
      </c>
      <c r="D36">
        <v>-916</v>
      </c>
      <c r="E36" t="s">
        <v>842</v>
      </c>
      <c r="F36" t="s">
        <v>21</v>
      </c>
      <c r="G36" t="s">
        <v>910</v>
      </c>
      <c r="H36" t="s">
        <v>25</v>
      </c>
      <c r="I36" t="s">
        <v>135</v>
      </c>
      <c r="J36" t="s">
        <v>911</v>
      </c>
      <c r="K36" t="s">
        <v>28</v>
      </c>
      <c r="L36" t="s">
        <v>912</v>
      </c>
      <c r="M36" t="s">
        <v>39</v>
      </c>
      <c r="N36" t="s">
        <v>913</v>
      </c>
      <c r="O36" t="s">
        <v>21</v>
      </c>
      <c r="P36" t="s">
        <v>165</v>
      </c>
      <c r="Q36" t="s">
        <v>18</v>
      </c>
      <c r="R36" t="s">
        <v>18</v>
      </c>
    </row>
    <row r="37" spans="1:18">
      <c r="A37" t="s">
        <v>914</v>
      </c>
      <c r="B37" t="s">
        <v>915</v>
      </c>
      <c r="C37">
        <v>4.2</v>
      </c>
      <c r="D37">
        <v>-6</v>
      </c>
      <c r="E37" t="s">
        <v>35</v>
      </c>
      <c r="F37" t="s">
        <v>21</v>
      </c>
      <c r="G37" t="s">
        <v>916</v>
      </c>
      <c r="H37" t="s">
        <v>184</v>
      </c>
      <c r="I37" t="s">
        <v>917</v>
      </c>
      <c r="J37" t="s">
        <v>918</v>
      </c>
      <c r="K37" t="s">
        <v>18</v>
      </c>
      <c r="L37" t="s">
        <v>385</v>
      </c>
      <c r="M37" t="s">
        <v>579</v>
      </c>
      <c r="N37" t="s">
        <v>580</v>
      </c>
      <c r="O37" t="s">
        <v>21</v>
      </c>
      <c r="P37" t="s">
        <v>126</v>
      </c>
      <c r="Q37" t="s">
        <v>18</v>
      </c>
      <c r="R37" t="s">
        <v>18</v>
      </c>
    </row>
    <row r="38" spans="1:18">
      <c r="A38" t="s">
        <v>919</v>
      </c>
      <c r="B38" t="s">
        <v>920</v>
      </c>
      <c r="C38">
        <v>4.0999999999999996</v>
      </c>
      <c r="D38">
        <v>-32</v>
      </c>
      <c r="E38" t="s">
        <v>35</v>
      </c>
      <c r="F38" t="s">
        <v>21</v>
      </c>
      <c r="G38" t="s">
        <v>921</v>
      </c>
      <c r="H38" t="s">
        <v>184</v>
      </c>
      <c r="I38" t="s">
        <v>185</v>
      </c>
      <c r="J38" t="s">
        <v>922</v>
      </c>
      <c r="K38" t="s">
        <v>28</v>
      </c>
      <c r="L38" t="s">
        <v>923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8">
      <c r="A39" t="s">
        <v>924</v>
      </c>
      <c r="B39" t="s">
        <v>925</v>
      </c>
      <c r="C39">
        <v>3</v>
      </c>
      <c r="D39">
        <v>-2</v>
      </c>
      <c r="E39" t="s">
        <v>23</v>
      </c>
      <c r="F39" t="s">
        <v>21</v>
      </c>
      <c r="G39" t="s">
        <v>926</v>
      </c>
      <c r="H39" t="s">
        <v>18</v>
      </c>
      <c r="I39" t="s">
        <v>18</v>
      </c>
      <c r="J39" t="s">
        <v>927</v>
      </c>
      <c r="K39" t="s">
        <v>18</v>
      </c>
      <c r="L39" t="s">
        <v>385</v>
      </c>
      <c r="M39" t="s">
        <v>643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8">
      <c r="A40" t="s">
        <v>928</v>
      </c>
      <c r="B40" t="s">
        <v>929</v>
      </c>
      <c r="C40">
        <v>4</v>
      </c>
      <c r="D40">
        <v>-10</v>
      </c>
      <c r="E40" t="s">
        <v>23</v>
      </c>
      <c r="F40" t="s">
        <v>21</v>
      </c>
      <c r="G40" t="s">
        <v>930</v>
      </c>
      <c r="H40" t="s">
        <v>184</v>
      </c>
      <c r="I40" t="s">
        <v>678</v>
      </c>
      <c r="J40" t="s">
        <v>931</v>
      </c>
      <c r="K40" t="s">
        <v>28</v>
      </c>
      <c r="L40" t="s">
        <v>932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8">
      <c r="A41" t="s">
        <v>933</v>
      </c>
      <c r="B41" t="s">
        <v>934</v>
      </c>
      <c r="C41">
        <v>3</v>
      </c>
      <c r="D41">
        <v>-1</v>
      </c>
      <c r="E41" t="s">
        <v>35</v>
      </c>
      <c r="F41" t="s">
        <v>21</v>
      </c>
      <c r="G41" t="s">
        <v>935</v>
      </c>
      <c r="H41" t="s">
        <v>94</v>
      </c>
      <c r="I41" t="s">
        <v>873</v>
      </c>
      <c r="J41" t="s">
        <v>936</v>
      </c>
      <c r="K41" t="s">
        <v>18</v>
      </c>
      <c r="L41" t="s">
        <v>385</v>
      </c>
      <c r="M41" t="s">
        <v>643</v>
      </c>
      <c r="N41" t="s">
        <v>580</v>
      </c>
      <c r="O41" t="s">
        <v>18</v>
      </c>
      <c r="P41" t="s">
        <v>18</v>
      </c>
      <c r="Q41" t="s">
        <v>18</v>
      </c>
      <c r="R41" t="s">
        <v>18</v>
      </c>
    </row>
    <row r="42" spans="1:18">
      <c r="A42" t="s">
        <v>937</v>
      </c>
      <c r="B42" t="s">
        <v>938</v>
      </c>
      <c r="C42">
        <v>4.5999999999999996</v>
      </c>
      <c r="D42">
        <v>-46</v>
      </c>
      <c r="E42" t="s">
        <v>23</v>
      </c>
      <c r="F42" t="s">
        <v>21</v>
      </c>
      <c r="G42" t="s">
        <v>939</v>
      </c>
      <c r="H42" t="s">
        <v>18</v>
      </c>
      <c r="I42" t="s">
        <v>18</v>
      </c>
      <c r="J42" t="s">
        <v>940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8">
      <c r="A43" t="s">
        <v>941</v>
      </c>
      <c r="B43" t="s">
        <v>942</v>
      </c>
      <c r="C43">
        <v>4.8</v>
      </c>
      <c r="D43">
        <v>-26</v>
      </c>
      <c r="E43" t="s">
        <v>102</v>
      </c>
      <c r="F43" t="s">
        <v>21</v>
      </c>
      <c r="G43" t="s">
        <v>943</v>
      </c>
      <c r="H43" t="s">
        <v>18</v>
      </c>
      <c r="I43" t="s">
        <v>18</v>
      </c>
      <c r="J43" t="s">
        <v>944</v>
      </c>
      <c r="K43" t="s">
        <v>28</v>
      </c>
      <c r="L43" t="s">
        <v>945</v>
      </c>
      <c r="M43" t="s">
        <v>18</v>
      </c>
      <c r="N43" t="s">
        <v>18</v>
      </c>
      <c r="O43" t="s">
        <v>21</v>
      </c>
      <c r="P43" t="s">
        <v>126</v>
      </c>
      <c r="Q43" t="s">
        <v>18</v>
      </c>
      <c r="R43" t="s">
        <v>18</v>
      </c>
    </row>
    <row r="44" spans="1:18">
      <c r="A44" t="s">
        <v>946</v>
      </c>
      <c r="B44" t="s">
        <v>947</v>
      </c>
      <c r="C44">
        <v>5</v>
      </c>
      <c r="D44">
        <v>-18</v>
      </c>
      <c r="E44" t="s">
        <v>142</v>
      </c>
      <c r="F44" t="s">
        <v>21</v>
      </c>
      <c r="G44" t="s">
        <v>948</v>
      </c>
      <c r="H44" t="s">
        <v>18</v>
      </c>
      <c r="I44" t="s">
        <v>18</v>
      </c>
      <c r="J44" t="s">
        <v>949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8">
      <c r="A45" t="s">
        <v>18</v>
      </c>
      <c r="B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4C9F-D604-4F43-9DC2-068077FA5D44}">
  <dimension ref="A1:R79"/>
  <sheetViews>
    <sheetView topLeftCell="B1" workbookViewId="0">
      <pane xSplit="1" topLeftCell="C1" activePane="topRight" state="frozen"/>
      <selection activeCell="B1" sqref="B1"/>
      <selection pane="topRight" sqref="A1:R79"/>
    </sheetView>
  </sheetViews>
  <sheetFormatPr defaultRowHeight="15"/>
  <cols>
    <col min="1" max="1" width="81.140625" hidden="1" customWidth="1"/>
    <col min="2" max="2" width="13.42578125" bestFit="1" customWidth="1"/>
    <col min="3" max="3" width="10.7109375" bestFit="1" customWidth="1"/>
    <col min="4" max="4" width="8.7109375" bestFit="1" customWidth="1"/>
    <col min="5" max="5" width="13.42578125" bestFit="1" customWidth="1"/>
    <col min="6" max="6" width="11.5703125" bestFit="1" customWidth="1"/>
    <col min="7" max="14" width="13.42578125" bestFit="1" customWidth="1"/>
    <col min="15" max="15" width="9.42578125" bestFit="1" customWidth="1"/>
    <col min="16" max="16" width="10.85546875" bestFit="1" customWidth="1"/>
    <col min="17" max="17" width="9.7109375" bestFit="1" customWidth="1"/>
    <col min="18" max="18" width="13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4</v>
      </c>
      <c r="P1" t="s">
        <v>5</v>
      </c>
      <c r="Q1" t="s">
        <v>16</v>
      </c>
      <c r="R1" t="s">
        <v>17</v>
      </c>
    </row>
    <row r="2" spans="1:18">
      <c r="A2" t="s">
        <v>18</v>
      </c>
      <c r="B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>
      <c r="A3" t="s">
        <v>18</v>
      </c>
      <c r="B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</row>
    <row r="4" spans="1:18">
      <c r="A4" t="s">
        <v>468</v>
      </c>
      <c r="B4" t="s">
        <v>469</v>
      </c>
      <c r="C4">
        <v>4.9000000000000004</v>
      </c>
      <c r="D4">
        <v>-525</v>
      </c>
      <c r="E4" t="s">
        <v>102</v>
      </c>
      <c r="F4" t="s">
        <v>21</v>
      </c>
      <c r="G4" t="s">
        <v>470</v>
      </c>
      <c r="H4" t="s">
        <v>184</v>
      </c>
      <c r="I4" t="s">
        <v>471</v>
      </c>
      <c r="J4" t="s">
        <v>472</v>
      </c>
      <c r="K4" t="s">
        <v>28</v>
      </c>
      <c r="L4" t="s">
        <v>473</v>
      </c>
      <c r="M4" t="s">
        <v>193</v>
      </c>
      <c r="N4" t="s">
        <v>474</v>
      </c>
      <c r="O4" t="s">
        <v>18</v>
      </c>
      <c r="P4" t="s">
        <v>34</v>
      </c>
      <c r="Q4" t="s">
        <v>18</v>
      </c>
      <c r="R4" t="s">
        <v>18</v>
      </c>
    </row>
    <row r="5" spans="1:18">
      <c r="A5" t="s">
        <v>475</v>
      </c>
      <c r="B5" t="s">
        <v>476</v>
      </c>
      <c r="C5">
        <v>4.4000000000000004</v>
      </c>
      <c r="D5">
        <v>-712</v>
      </c>
      <c r="E5" t="s">
        <v>35</v>
      </c>
      <c r="F5" t="s">
        <v>21</v>
      </c>
      <c r="G5" t="s">
        <v>21</v>
      </c>
      <c r="H5" t="s">
        <v>184</v>
      </c>
      <c r="I5" t="s">
        <v>185</v>
      </c>
      <c r="J5" t="s">
        <v>477</v>
      </c>
      <c r="K5" t="s">
        <v>28</v>
      </c>
      <c r="L5" t="s">
        <v>478</v>
      </c>
      <c r="M5" t="s">
        <v>18</v>
      </c>
      <c r="N5" t="s">
        <v>18</v>
      </c>
      <c r="O5" t="s">
        <v>21</v>
      </c>
      <c r="P5" t="s">
        <v>22</v>
      </c>
      <c r="Q5" t="s">
        <v>41</v>
      </c>
      <c r="R5" t="s">
        <v>479</v>
      </c>
    </row>
    <row r="6" spans="1:18">
      <c r="A6" t="s">
        <v>480</v>
      </c>
      <c r="B6" t="s">
        <v>481</v>
      </c>
      <c r="C6">
        <v>4.5999999999999996</v>
      </c>
      <c r="D6">
        <v>-394</v>
      </c>
      <c r="E6" t="s">
        <v>35</v>
      </c>
      <c r="F6" t="s">
        <v>21</v>
      </c>
      <c r="G6" t="s">
        <v>482</v>
      </c>
      <c r="H6" t="s">
        <v>25</v>
      </c>
      <c r="I6" t="s">
        <v>26</v>
      </c>
      <c r="J6" t="s">
        <v>483</v>
      </c>
      <c r="K6" t="s">
        <v>28</v>
      </c>
      <c r="L6" t="s">
        <v>484</v>
      </c>
      <c r="M6" t="s">
        <v>77</v>
      </c>
      <c r="N6" t="s">
        <v>485</v>
      </c>
      <c r="O6" t="s">
        <v>21</v>
      </c>
      <c r="P6" t="s">
        <v>126</v>
      </c>
      <c r="Q6" t="s">
        <v>18</v>
      </c>
      <c r="R6" t="s">
        <v>18</v>
      </c>
    </row>
    <row r="7" spans="1:18">
      <c r="A7" t="s">
        <v>486</v>
      </c>
      <c r="B7" t="s">
        <v>487</v>
      </c>
      <c r="C7">
        <v>4.8</v>
      </c>
      <c r="D7">
        <v>-629</v>
      </c>
      <c r="E7" t="s">
        <v>488</v>
      </c>
      <c r="F7" t="s">
        <v>21</v>
      </c>
      <c r="G7" t="s">
        <v>489</v>
      </c>
      <c r="H7" t="s">
        <v>25</v>
      </c>
      <c r="I7" t="s">
        <v>26</v>
      </c>
      <c r="J7" t="s">
        <v>490</v>
      </c>
      <c r="K7" t="s">
        <v>28</v>
      </c>
      <c r="L7" t="s">
        <v>491</v>
      </c>
      <c r="M7" t="s">
        <v>77</v>
      </c>
      <c r="N7" t="s">
        <v>492</v>
      </c>
      <c r="O7" t="s">
        <v>18</v>
      </c>
      <c r="P7" t="s">
        <v>34</v>
      </c>
      <c r="Q7" t="s">
        <v>18</v>
      </c>
      <c r="R7" t="s">
        <v>18</v>
      </c>
    </row>
    <row r="8" spans="1:18">
      <c r="A8" t="s">
        <v>493</v>
      </c>
      <c r="B8" t="s">
        <v>494</v>
      </c>
      <c r="C8">
        <v>4.8</v>
      </c>
      <c r="D8">
        <v>-1644</v>
      </c>
      <c r="E8" t="s">
        <v>23</v>
      </c>
      <c r="F8" t="s">
        <v>21</v>
      </c>
      <c r="G8" t="s">
        <v>495</v>
      </c>
      <c r="H8" t="s">
        <v>25</v>
      </c>
      <c r="I8" t="s">
        <v>36</v>
      </c>
      <c r="J8" t="s">
        <v>496</v>
      </c>
      <c r="K8" t="s">
        <v>28</v>
      </c>
      <c r="L8" t="s">
        <v>497</v>
      </c>
      <c r="M8" t="s">
        <v>30</v>
      </c>
      <c r="N8" t="s">
        <v>498</v>
      </c>
      <c r="O8" t="s">
        <v>21</v>
      </c>
      <c r="P8" t="s">
        <v>34</v>
      </c>
      <c r="Q8" t="s">
        <v>18</v>
      </c>
      <c r="R8" t="s">
        <v>18</v>
      </c>
    </row>
    <row r="9" spans="1:18">
      <c r="A9" t="s">
        <v>499</v>
      </c>
      <c r="B9" t="s">
        <v>500</v>
      </c>
      <c r="C9">
        <v>5</v>
      </c>
      <c r="D9">
        <v>-63</v>
      </c>
      <c r="E9" t="s">
        <v>23</v>
      </c>
      <c r="F9" t="s">
        <v>21</v>
      </c>
      <c r="G9" t="s">
        <v>501</v>
      </c>
      <c r="H9" t="s">
        <v>184</v>
      </c>
      <c r="I9" t="s">
        <v>400</v>
      </c>
      <c r="J9" t="s">
        <v>502</v>
      </c>
      <c r="K9" t="s">
        <v>28</v>
      </c>
      <c r="L9" t="s">
        <v>503</v>
      </c>
      <c r="M9" t="s">
        <v>18</v>
      </c>
      <c r="N9" t="s">
        <v>18</v>
      </c>
      <c r="O9" t="s">
        <v>21</v>
      </c>
      <c r="P9" t="s">
        <v>126</v>
      </c>
      <c r="Q9" t="s">
        <v>18</v>
      </c>
      <c r="R9" t="s">
        <v>18</v>
      </c>
    </row>
    <row r="10" spans="1:18">
      <c r="A10" t="s">
        <v>504</v>
      </c>
      <c r="B10" t="s">
        <v>505</v>
      </c>
      <c r="C10">
        <v>4.8</v>
      </c>
      <c r="D10">
        <v>-308</v>
      </c>
      <c r="E10" t="s">
        <v>35</v>
      </c>
      <c r="F10" t="s">
        <v>21</v>
      </c>
      <c r="G10" t="s">
        <v>506</v>
      </c>
      <c r="H10" t="s">
        <v>184</v>
      </c>
      <c r="I10" t="s">
        <v>507</v>
      </c>
      <c r="J10" t="s">
        <v>508</v>
      </c>
      <c r="K10" t="s">
        <v>28</v>
      </c>
      <c r="L10" t="s">
        <v>509</v>
      </c>
      <c r="M10" t="s">
        <v>77</v>
      </c>
      <c r="N10" t="s">
        <v>510</v>
      </c>
      <c r="O10" t="s">
        <v>21</v>
      </c>
      <c r="P10" t="s">
        <v>22</v>
      </c>
      <c r="Q10" t="s">
        <v>18</v>
      </c>
      <c r="R10" t="s">
        <v>18</v>
      </c>
    </row>
    <row r="11" spans="1:18">
      <c r="A11" t="s">
        <v>511</v>
      </c>
      <c r="B11" t="s">
        <v>512</v>
      </c>
      <c r="C11">
        <v>5</v>
      </c>
      <c r="D11">
        <v>-4</v>
      </c>
      <c r="E11" t="s">
        <v>35</v>
      </c>
      <c r="F11" t="s">
        <v>21</v>
      </c>
      <c r="G11" t="s">
        <v>513</v>
      </c>
      <c r="H11" t="s">
        <v>25</v>
      </c>
      <c r="I11" t="s">
        <v>514</v>
      </c>
      <c r="J11" t="s">
        <v>515</v>
      </c>
      <c r="K11" t="s">
        <v>18</v>
      </c>
      <c r="L11" t="s">
        <v>18</v>
      </c>
      <c r="M11" t="s">
        <v>18</v>
      </c>
      <c r="N11" t="s">
        <v>18</v>
      </c>
      <c r="O11" t="s">
        <v>21</v>
      </c>
      <c r="P11" t="s">
        <v>22</v>
      </c>
      <c r="Q11" t="s">
        <v>18</v>
      </c>
      <c r="R11" t="s">
        <v>18</v>
      </c>
    </row>
    <row r="12" spans="1:18">
      <c r="A12" t="s">
        <v>516</v>
      </c>
      <c r="B12" t="s">
        <v>517</v>
      </c>
      <c r="C12">
        <v>4.5999999999999996</v>
      </c>
      <c r="D12">
        <v>-462</v>
      </c>
      <c r="E12" t="s">
        <v>35</v>
      </c>
      <c r="F12" t="s">
        <v>21</v>
      </c>
      <c r="G12" t="s">
        <v>518</v>
      </c>
      <c r="H12" t="s">
        <v>25</v>
      </c>
      <c r="I12" t="s">
        <v>74</v>
      </c>
      <c r="J12" t="s">
        <v>519</v>
      </c>
      <c r="K12" t="s">
        <v>28</v>
      </c>
      <c r="L12" t="s">
        <v>62</v>
      </c>
      <c r="M12" t="s">
        <v>55</v>
      </c>
      <c r="N12" t="s">
        <v>520</v>
      </c>
      <c r="O12" t="s">
        <v>21</v>
      </c>
      <c r="P12" t="s">
        <v>22</v>
      </c>
      <c r="Q12" t="s">
        <v>18</v>
      </c>
      <c r="R12" t="s">
        <v>18</v>
      </c>
    </row>
    <row r="13" spans="1:18">
      <c r="A13" t="s">
        <v>521</v>
      </c>
      <c r="B13" t="s">
        <v>522</v>
      </c>
      <c r="C13">
        <v>4.5999999999999996</v>
      </c>
      <c r="D13">
        <v>-28</v>
      </c>
      <c r="E13" t="s">
        <v>523</v>
      </c>
      <c r="F13" t="s">
        <v>21</v>
      </c>
      <c r="G13" t="s">
        <v>524</v>
      </c>
      <c r="H13" t="s">
        <v>18</v>
      </c>
      <c r="I13" t="s">
        <v>18</v>
      </c>
      <c r="J13" t="s">
        <v>525</v>
      </c>
      <c r="K13" t="s">
        <v>28</v>
      </c>
      <c r="L13" t="s">
        <v>526</v>
      </c>
      <c r="M13" t="s">
        <v>48</v>
      </c>
      <c r="N13" t="s">
        <v>527</v>
      </c>
      <c r="O13" t="s">
        <v>18</v>
      </c>
      <c r="P13" t="s">
        <v>22</v>
      </c>
      <c r="Q13" t="s">
        <v>18</v>
      </c>
      <c r="R13" t="s">
        <v>18</v>
      </c>
    </row>
    <row r="14" spans="1:18">
      <c r="A14" t="s">
        <v>528</v>
      </c>
      <c r="B14" t="s">
        <v>529</v>
      </c>
      <c r="C14">
        <v>4.5999999999999996</v>
      </c>
      <c r="D14">
        <v>-1051</v>
      </c>
      <c r="E14" t="s">
        <v>35</v>
      </c>
      <c r="F14" t="s">
        <v>21</v>
      </c>
      <c r="G14" t="s">
        <v>21</v>
      </c>
      <c r="H14" t="s">
        <v>184</v>
      </c>
      <c r="I14" t="s">
        <v>262</v>
      </c>
      <c r="J14" t="s">
        <v>530</v>
      </c>
      <c r="K14" t="s">
        <v>28</v>
      </c>
      <c r="L14" t="s">
        <v>531</v>
      </c>
      <c r="M14" t="s">
        <v>39</v>
      </c>
      <c r="N14" t="s">
        <v>532</v>
      </c>
      <c r="O14" t="s">
        <v>18</v>
      </c>
      <c r="P14" t="s">
        <v>34</v>
      </c>
      <c r="Q14" t="s">
        <v>57</v>
      </c>
      <c r="R14" t="s">
        <v>533</v>
      </c>
    </row>
    <row r="15" spans="1:18">
      <c r="A15" t="s">
        <v>534</v>
      </c>
      <c r="B15" t="s">
        <v>405</v>
      </c>
      <c r="C15">
        <v>4.8</v>
      </c>
      <c r="D15">
        <v>-36</v>
      </c>
      <c r="E15" t="s">
        <v>23</v>
      </c>
      <c r="F15" t="s">
        <v>21</v>
      </c>
      <c r="G15" t="s">
        <v>535</v>
      </c>
      <c r="H15" t="s">
        <v>25</v>
      </c>
      <c r="I15" t="s">
        <v>74</v>
      </c>
      <c r="J15" t="s">
        <v>536</v>
      </c>
      <c r="K15" t="s">
        <v>28</v>
      </c>
      <c r="L15" t="s">
        <v>537</v>
      </c>
      <c r="M15" t="s">
        <v>39</v>
      </c>
      <c r="N15" t="s">
        <v>538</v>
      </c>
      <c r="O15" t="s">
        <v>21</v>
      </c>
      <c r="P15" t="s">
        <v>34</v>
      </c>
      <c r="Q15" t="s">
        <v>18</v>
      </c>
      <c r="R15" t="s">
        <v>18</v>
      </c>
    </row>
    <row r="16" spans="1:18">
      <c r="A16" t="s">
        <v>539</v>
      </c>
      <c r="B16" t="s">
        <v>540</v>
      </c>
      <c r="C16">
        <v>4.5</v>
      </c>
      <c r="D16">
        <v>-78</v>
      </c>
      <c r="E16" t="s">
        <v>35</v>
      </c>
      <c r="F16" t="s">
        <v>21</v>
      </c>
      <c r="G16" t="s">
        <v>541</v>
      </c>
      <c r="H16" t="s">
        <v>184</v>
      </c>
      <c r="I16" t="s">
        <v>236</v>
      </c>
      <c r="J16" t="s">
        <v>542</v>
      </c>
      <c r="K16" t="s">
        <v>28</v>
      </c>
      <c r="L16" t="s">
        <v>543</v>
      </c>
      <c r="M16" t="s">
        <v>18</v>
      </c>
      <c r="N16" t="s">
        <v>18</v>
      </c>
      <c r="O16" t="s">
        <v>21</v>
      </c>
      <c r="P16" t="s">
        <v>126</v>
      </c>
      <c r="Q16" t="s">
        <v>18</v>
      </c>
      <c r="R16" t="s">
        <v>18</v>
      </c>
    </row>
    <row r="17" spans="1:18">
      <c r="A17" t="s">
        <v>544</v>
      </c>
      <c r="B17" t="s">
        <v>545</v>
      </c>
      <c r="C17">
        <v>4.8</v>
      </c>
      <c r="D17">
        <v>-53</v>
      </c>
      <c r="E17" t="s">
        <v>546</v>
      </c>
      <c r="F17" t="s">
        <v>21</v>
      </c>
      <c r="G17" t="s">
        <v>547</v>
      </c>
      <c r="H17" t="s">
        <v>184</v>
      </c>
      <c r="I17" t="s">
        <v>471</v>
      </c>
      <c r="J17" t="s">
        <v>548</v>
      </c>
      <c r="K17" t="s">
        <v>28</v>
      </c>
      <c r="L17" t="s">
        <v>549</v>
      </c>
      <c r="M17" t="s">
        <v>193</v>
      </c>
      <c r="N17" t="s">
        <v>550</v>
      </c>
      <c r="O17" t="s">
        <v>21</v>
      </c>
      <c r="P17" t="s">
        <v>126</v>
      </c>
      <c r="Q17" t="s">
        <v>18</v>
      </c>
      <c r="R17" t="s">
        <v>18</v>
      </c>
    </row>
    <row r="18" spans="1:18">
      <c r="A18" t="s">
        <v>551</v>
      </c>
      <c r="B18" t="s">
        <v>552</v>
      </c>
      <c r="C18">
        <v>4.5999999999999996</v>
      </c>
      <c r="D18">
        <v>-1504</v>
      </c>
      <c r="E18" t="s">
        <v>102</v>
      </c>
      <c r="F18" t="s">
        <v>21</v>
      </c>
      <c r="G18" t="s">
        <v>21</v>
      </c>
      <c r="H18" t="s">
        <v>25</v>
      </c>
      <c r="I18" t="s">
        <v>52</v>
      </c>
      <c r="J18" t="s">
        <v>553</v>
      </c>
      <c r="K18" t="s">
        <v>28</v>
      </c>
      <c r="L18" t="s">
        <v>105</v>
      </c>
      <c r="M18" t="s">
        <v>48</v>
      </c>
      <c r="N18" t="s">
        <v>554</v>
      </c>
      <c r="O18" t="s">
        <v>21</v>
      </c>
      <c r="P18" t="s">
        <v>34</v>
      </c>
      <c r="Q18" t="s">
        <v>57</v>
      </c>
      <c r="R18" t="s">
        <v>555</v>
      </c>
    </row>
    <row r="19" spans="1:18">
      <c r="A19" t="s">
        <v>556</v>
      </c>
      <c r="B19" t="s">
        <v>557</v>
      </c>
      <c r="C19">
        <v>4.8</v>
      </c>
      <c r="D19">
        <v>-142</v>
      </c>
      <c r="E19" t="s">
        <v>35</v>
      </c>
      <c r="F19" t="s">
        <v>21</v>
      </c>
      <c r="G19" t="s">
        <v>558</v>
      </c>
      <c r="H19" t="s">
        <v>25</v>
      </c>
      <c r="I19" t="s">
        <v>559</v>
      </c>
      <c r="J19" t="s">
        <v>560</v>
      </c>
      <c r="K19" t="s">
        <v>28</v>
      </c>
      <c r="L19" t="s">
        <v>561</v>
      </c>
      <c r="M19" t="s">
        <v>193</v>
      </c>
      <c r="N19" t="s">
        <v>562</v>
      </c>
      <c r="O19" t="s">
        <v>21</v>
      </c>
      <c r="P19" t="s">
        <v>22</v>
      </c>
      <c r="Q19" t="s">
        <v>18</v>
      </c>
      <c r="R19" t="s">
        <v>18</v>
      </c>
    </row>
    <row r="20" spans="1:18">
      <c r="A20" t="s">
        <v>563</v>
      </c>
      <c r="B20" t="s">
        <v>564</v>
      </c>
      <c r="C20">
        <v>4.7</v>
      </c>
      <c r="D20">
        <v>-828</v>
      </c>
      <c r="E20" t="s">
        <v>35</v>
      </c>
      <c r="F20" t="s">
        <v>21</v>
      </c>
      <c r="G20" t="s">
        <v>565</v>
      </c>
      <c r="H20" t="s">
        <v>25</v>
      </c>
      <c r="I20" t="s">
        <v>26</v>
      </c>
      <c r="J20" t="s">
        <v>566</v>
      </c>
      <c r="K20" t="s">
        <v>28</v>
      </c>
      <c r="L20" t="s">
        <v>567</v>
      </c>
      <c r="M20" t="s">
        <v>77</v>
      </c>
      <c r="N20" t="s">
        <v>568</v>
      </c>
      <c r="O20" t="s">
        <v>21</v>
      </c>
      <c r="P20" t="s">
        <v>22</v>
      </c>
      <c r="Q20" t="s">
        <v>18</v>
      </c>
      <c r="R20" t="s">
        <v>18</v>
      </c>
    </row>
    <row r="21" spans="1:18">
      <c r="A21" t="s">
        <v>569</v>
      </c>
      <c r="B21" t="s">
        <v>570</v>
      </c>
      <c r="C21">
        <v>4</v>
      </c>
      <c r="D21">
        <v>-870</v>
      </c>
      <c r="E21" t="s">
        <v>23</v>
      </c>
      <c r="F21" t="s">
        <v>21</v>
      </c>
      <c r="G21" t="s">
        <v>571</v>
      </c>
      <c r="H21" t="s">
        <v>184</v>
      </c>
      <c r="I21" t="s">
        <v>185</v>
      </c>
      <c r="J21" t="s">
        <v>572</v>
      </c>
      <c r="K21" t="s">
        <v>28</v>
      </c>
      <c r="L21" t="s">
        <v>573</v>
      </c>
      <c r="M21" t="s">
        <v>39</v>
      </c>
      <c r="N21" t="s">
        <v>574</v>
      </c>
      <c r="O21" t="s">
        <v>21</v>
      </c>
      <c r="P21" t="s">
        <v>22</v>
      </c>
      <c r="Q21" t="s">
        <v>18</v>
      </c>
      <c r="R21" t="s">
        <v>18</v>
      </c>
    </row>
    <row r="22" spans="1:18">
      <c r="A22" t="s">
        <v>575</v>
      </c>
      <c r="B22" t="s">
        <v>576</v>
      </c>
      <c r="C22">
        <v>4.5</v>
      </c>
      <c r="D22">
        <v>-27</v>
      </c>
      <c r="E22" t="s">
        <v>23</v>
      </c>
      <c r="F22" t="s">
        <v>21</v>
      </c>
      <c r="G22" t="s">
        <v>21</v>
      </c>
      <c r="H22" t="s">
        <v>184</v>
      </c>
      <c r="I22" t="s">
        <v>577</v>
      </c>
      <c r="J22" t="s">
        <v>578</v>
      </c>
      <c r="K22" t="s">
        <v>18</v>
      </c>
      <c r="L22" t="s">
        <v>385</v>
      </c>
      <c r="M22" t="s">
        <v>579</v>
      </c>
      <c r="N22" t="s">
        <v>580</v>
      </c>
      <c r="O22" t="s">
        <v>18</v>
      </c>
      <c r="P22" t="s">
        <v>22</v>
      </c>
      <c r="Q22" t="s">
        <v>57</v>
      </c>
      <c r="R22" t="s">
        <v>581</v>
      </c>
    </row>
    <row r="23" spans="1:18">
      <c r="A23" t="s">
        <v>582</v>
      </c>
      <c r="B23" t="s">
        <v>583</v>
      </c>
      <c r="C23">
        <v>4.8</v>
      </c>
      <c r="D23">
        <v>-33</v>
      </c>
      <c r="E23" t="s">
        <v>584</v>
      </c>
      <c r="F23" t="s">
        <v>21</v>
      </c>
      <c r="G23" t="s">
        <v>585</v>
      </c>
      <c r="H23" t="s">
        <v>25</v>
      </c>
      <c r="I23" t="s">
        <v>586</v>
      </c>
      <c r="J23" t="s">
        <v>587</v>
      </c>
      <c r="K23" t="s">
        <v>28</v>
      </c>
      <c r="L23" t="s">
        <v>588</v>
      </c>
      <c r="M23" t="s">
        <v>18</v>
      </c>
      <c r="N23" t="s">
        <v>18</v>
      </c>
      <c r="O23" t="s">
        <v>21</v>
      </c>
      <c r="P23" t="s">
        <v>22</v>
      </c>
      <c r="Q23" t="s">
        <v>18</v>
      </c>
      <c r="R23" t="s">
        <v>18</v>
      </c>
    </row>
    <row r="24" spans="1:18">
      <c r="A24" t="s">
        <v>589</v>
      </c>
      <c r="B24" t="s">
        <v>590</v>
      </c>
      <c r="C24">
        <v>4.5</v>
      </c>
      <c r="D24">
        <v>-1219</v>
      </c>
      <c r="E24" t="s">
        <v>35</v>
      </c>
      <c r="F24" t="s">
        <v>21</v>
      </c>
      <c r="G24" t="s">
        <v>591</v>
      </c>
      <c r="H24" t="s">
        <v>25</v>
      </c>
      <c r="I24" t="s">
        <v>135</v>
      </c>
      <c r="J24" t="s">
        <v>592</v>
      </c>
      <c r="K24" t="s">
        <v>28</v>
      </c>
      <c r="L24" t="s">
        <v>593</v>
      </c>
      <c r="M24" t="s">
        <v>77</v>
      </c>
      <c r="N24" t="s">
        <v>594</v>
      </c>
      <c r="O24" t="s">
        <v>21</v>
      </c>
      <c r="P24" t="s">
        <v>22</v>
      </c>
      <c r="Q24" t="s">
        <v>18</v>
      </c>
      <c r="R24" t="s">
        <v>18</v>
      </c>
    </row>
    <row r="25" spans="1:18">
      <c r="A25" t="s">
        <v>595</v>
      </c>
      <c r="B25" t="s">
        <v>380</v>
      </c>
      <c r="C25">
        <v>4.9000000000000004</v>
      </c>
      <c r="D25">
        <v>-334</v>
      </c>
      <c r="E25" t="s">
        <v>23</v>
      </c>
      <c r="F25" t="s">
        <v>21</v>
      </c>
      <c r="G25" t="s">
        <v>382</v>
      </c>
      <c r="H25" t="s">
        <v>25</v>
      </c>
      <c r="I25" t="s">
        <v>26</v>
      </c>
      <c r="J25" t="s">
        <v>596</v>
      </c>
      <c r="K25" t="s">
        <v>28</v>
      </c>
      <c r="L25" t="s">
        <v>597</v>
      </c>
      <c r="M25" t="s">
        <v>69</v>
      </c>
      <c r="N25" t="s">
        <v>598</v>
      </c>
      <c r="O25" t="s">
        <v>21</v>
      </c>
      <c r="P25" t="s">
        <v>22</v>
      </c>
      <c r="Q25" t="s">
        <v>18</v>
      </c>
      <c r="R25" t="s">
        <v>18</v>
      </c>
    </row>
    <row r="26" spans="1:18">
      <c r="A26" t="s">
        <v>599</v>
      </c>
      <c r="B26" t="s">
        <v>600</v>
      </c>
      <c r="C26">
        <v>4.9000000000000004</v>
      </c>
      <c r="D26">
        <v>-169</v>
      </c>
      <c r="E26" t="s">
        <v>35</v>
      </c>
      <c r="F26" t="s">
        <v>21</v>
      </c>
      <c r="G26" t="s">
        <v>601</v>
      </c>
      <c r="H26" t="s">
        <v>25</v>
      </c>
      <c r="I26" t="s">
        <v>81</v>
      </c>
      <c r="J26" t="s">
        <v>602</v>
      </c>
      <c r="K26" t="s">
        <v>28</v>
      </c>
      <c r="L26" t="s">
        <v>603</v>
      </c>
      <c r="M26" t="s">
        <v>18</v>
      </c>
      <c r="N26" t="s">
        <v>18</v>
      </c>
      <c r="O26" t="s">
        <v>21</v>
      </c>
      <c r="P26" t="s">
        <v>34</v>
      </c>
      <c r="Q26" t="s">
        <v>18</v>
      </c>
      <c r="R26" t="s">
        <v>18</v>
      </c>
    </row>
    <row r="27" spans="1:18">
      <c r="A27" t="s">
        <v>604</v>
      </c>
      <c r="B27" t="s">
        <v>605</v>
      </c>
      <c r="C27">
        <v>5</v>
      </c>
      <c r="D27">
        <v>-167</v>
      </c>
      <c r="E27" t="s">
        <v>23</v>
      </c>
      <c r="F27" t="s">
        <v>21</v>
      </c>
      <c r="G27" t="s">
        <v>606</v>
      </c>
      <c r="H27" t="s">
        <v>25</v>
      </c>
      <c r="I27" t="s">
        <v>26</v>
      </c>
      <c r="J27" t="s">
        <v>607</v>
      </c>
      <c r="K27" t="s">
        <v>28</v>
      </c>
      <c r="L27" t="s">
        <v>608</v>
      </c>
      <c r="M27" t="s">
        <v>30</v>
      </c>
      <c r="N27" t="s">
        <v>609</v>
      </c>
      <c r="O27" t="s">
        <v>21</v>
      </c>
      <c r="P27" t="s">
        <v>126</v>
      </c>
      <c r="Q27" t="s">
        <v>18</v>
      </c>
      <c r="R27" t="s">
        <v>18</v>
      </c>
    </row>
    <row r="28" spans="1:18">
      <c r="A28" t="s">
        <v>610</v>
      </c>
      <c r="B28" t="s">
        <v>611</v>
      </c>
      <c r="C28">
        <v>4.5999999999999996</v>
      </c>
      <c r="D28">
        <v>-55</v>
      </c>
      <c r="E28" t="s">
        <v>35</v>
      </c>
      <c r="F28" t="s">
        <v>21</v>
      </c>
      <c r="G28" t="s">
        <v>612</v>
      </c>
      <c r="H28" t="s">
        <v>25</v>
      </c>
      <c r="I28" t="s">
        <v>52</v>
      </c>
      <c r="J28" t="s">
        <v>613</v>
      </c>
      <c r="K28" t="s">
        <v>28</v>
      </c>
      <c r="L28" t="s">
        <v>614</v>
      </c>
      <c r="M28" t="s">
        <v>77</v>
      </c>
      <c r="N28" t="s">
        <v>615</v>
      </c>
      <c r="O28" t="s">
        <v>21</v>
      </c>
      <c r="P28" t="s">
        <v>126</v>
      </c>
      <c r="Q28" t="s">
        <v>18</v>
      </c>
      <c r="R28" t="s">
        <v>18</v>
      </c>
    </row>
    <row r="29" spans="1:18">
      <c r="A29" t="s">
        <v>616</v>
      </c>
      <c r="B29" t="s">
        <v>617</v>
      </c>
      <c r="C29">
        <v>4.9000000000000004</v>
      </c>
      <c r="D29">
        <v>-1008</v>
      </c>
      <c r="E29" t="s">
        <v>35</v>
      </c>
      <c r="F29" t="s">
        <v>21</v>
      </c>
      <c r="G29" t="s">
        <v>21</v>
      </c>
      <c r="H29" t="s">
        <v>25</v>
      </c>
      <c r="I29" t="s">
        <v>52</v>
      </c>
      <c r="J29" t="s">
        <v>618</v>
      </c>
      <c r="K29" t="s">
        <v>28</v>
      </c>
      <c r="L29" t="s">
        <v>105</v>
      </c>
      <c r="M29" t="s">
        <v>48</v>
      </c>
      <c r="N29" t="s">
        <v>619</v>
      </c>
      <c r="O29" t="s">
        <v>21</v>
      </c>
      <c r="P29" t="s">
        <v>126</v>
      </c>
      <c r="Q29" t="s">
        <v>57</v>
      </c>
      <c r="R29" t="s">
        <v>620</v>
      </c>
    </row>
    <row r="30" spans="1:18">
      <c r="A30" t="s">
        <v>621</v>
      </c>
      <c r="B30" t="s">
        <v>622</v>
      </c>
      <c r="C30">
        <v>4.8</v>
      </c>
      <c r="D30">
        <v>-135</v>
      </c>
      <c r="E30" t="s">
        <v>35</v>
      </c>
      <c r="F30" t="s">
        <v>21</v>
      </c>
      <c r="G30" t="s">
        <v>623</v>
      </c>
      <c r="H30" t="s">
        <v>25</v>
      </c>
      <c r="I30" t="s">
        <v>26</v>
      </c>
      <c r="J30" t="s">
        <v>624</v>
      </c>
      <c r="K30" t="s">
        <v>28</v>
      </c>
      <c r="L30" t="s">
        <v>625</v>
      </c>
      <c r="M30" t="s">
        <v>77</v>
      </c>
      <c r="N30" t="s">
        <v>626</v>
      </c>
      <c r="O30" t="s">
        <v>21</v>
      </c>
      <c r="P30" t="s">
        <v>22</v>
      </c>
      <c r="Q30" t="s">
        <v>18</v>
      </c>
      <c r="R30" t="s">
        <v>18</v>
      </c>
    </row>
    <row r="31" spans="1:18">
      <c r="A31" t="s">
        <v>100</v>
      </c>
      <c r="B31" t="s">
        <v>101</v>
      </c>
      <c r="C31">
        <v>4.8</v>
      </c>
      <c r="D31">
        <v>-333</v>
      </c>
      <c r="E31" t="s">
        <v>102</v>
      </c>
      <c r="F31" t="s">
        <v>21</v>
      </c>
      <c r="G31" t="s">
        <v>103</v>
      </c>
      <c r="H31" t="s">
        <v>25</v>
      </c>
      <c r="I31" t="s">
        <v>36</v>
      </c>
      <c r="J31" t="s">
        <v>104</v>
      </c>
      <c r="K31" t="s">
        <v>28</v>
      </c>
      <c r="L31" t="s">
        <v>105</v>
      </c>
      <c r="M31" t="s">
        <v>30</v>
      </c>
      <c r="N31" t="s">
        <v>106</v>
      </c>
      <c r="O31" t="s">
        <v>21</v>
      </c>
      <c r="P31" t="s">
        <v>22</v>
      </c>
      <c r="Q31" t="s">
        <v>18</v>
      </c>
      <c r="R31" t="s">
        <v>18</v>
      </c>
    </row>
    <row r="32" spans="1:18">
      <c r="A32" t="s">
        <v>19</v>
      </c>
      <c r="B32" t="s">
        <v>20</v>
      </c>
      <c r="C32">
        <v>4.9000000000000004</v>
      </c>
      <c r="D32">
        <v>-664</v>
      </c>
      <c r="E32" t="s">
        <v>23</v>
      </c>
      <c r="F32" t="s">
        <v>21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21</v>
      </c>
      <c r="P32" t="s">
        <v>22</v>
      </c>
      <c r="Q32" t="s">
        <v>18</v>
      </c>
      <c r="R32" t="s">
        <v>18</v>
      </c>
    </row>
    <row r="33" spans="1:18">
      <c r="A33" t="s">
        <v>627</v>
      </c>
      <c r="B33" t="s">
        <v>628</v>
      </c>
      <c r="C33">
        <v>5</v>
      </c>
      <c r="D33">
        <v>-2</v>
      </c>
      <c r="E33" t="s">
        <v>23</v>
      </c>
      <c r="F33" t="s">
        <v>21</v>
      </c>
      <c r="G33" t="s">
        <v>629</v>
      </c>
      <c r="H33" t="s">
        <v>184</v>
      </c>
      <c r="I33" t="s">
        <v>630</v>
      </c>
      <c r="J33" t="s">
        <v>631</v>
      </c>
      <c r="K33" t="s">
        <v>18</v>
      </c>
      <c r="L33" t="s">
        <v>385</v>
      </c>
      <c r="M33" t="s">
        <v>632</v>
      </c>
      <c r="N33" t="s">
        <v>580</v>
      </c>
      <c r="O33" t="s">
        <v>18</v>
      </c>
      <c r="P33" t="s">
        <v>22</v>
      </c>
      <c r="Q33" t="s">
        <v>18</v>
      </c>
      <c r="R33" t="s">
        <v>18</v>
      </c>
    </row>
    <row r="34" spans="1:18">
      <c r="A34" t="s">
        <v>633</v>
      </c>
      <c r="B34" t="s">
        <v>634</v>
      </c>
      <c r="C34">
        <v>4.5</v>
      </c>
      <c r="D34">
        <v>-513</v>
      </c>
      <c r="E34" t="s">
        <v>35</v>
      </c>
      <c r="F34" t="s">
        <v>21</v>
      </c>
      <c r="G34" t="s">
        <v>635</v>
      </c>
      <c r="H34" t="s">
        <v>25</v>
      </c>
      <c r="I34" t="s">
        <v>26</v>
      </c>
      <c r="J34" t="s">
        <v>636</v>
      </c>
      <c r="K34" t="s">
        <v>28</v>
      </c>
      <c r="L34" t="s">
        <v>637</v>
      </c>
      <c r="M34" t="s">
        <v>30</v>
      </c>
      <c r="N34" t="s">
        <v>638</v>
      </c>
      <c r="O34" t="s">
        <v>18</v>
      </c>
      <c r="P34" t="s">
        <v>22</v>
      </c>
      <c r="Q34" t="s">
        <v>18</v>
      </c>
      <c r="R34" t="s">
        <v>18</v>
      </c>
    </row>
    <row r="35" spans="1:18">
      <c r="A35" t="s">
        <v>92</v>
      </c>
      <c r="B35" t="s">
        <v>93</v>
      </c>
      <c r="C35">
        <v>4.7</v>
      </c>
      <c r="D35">
        <v>-344</v>
      </c>
      <c r="E35" t="s">
        <v>35</v>
      </c>
      <c r="F35" t="s">
        <v>21</v>
      </c>
      <c r="G35" t="s">
        <v>21</v>
      </c>
      <c r="H35" t="s">
        <v>94</v>
      </c>
      <c r="I35" t="s">
        <v>95</v>
      </c>
      <c r="J35" t="s">
        <v>96</v>
      </c>
      <c r="K35" t="s">
        <v>28</v>
      </c>
      <c r="L35" t="s">
        <v>97</v>
      </c>
      <c r="M35" t="s">
        <v>77</v>
      </c>
      <c r="N35" t="s">
        <v>98</v>
      </c>
      <c r="O35" t="s">
        <v>21</v>
      </c>
      <c r="P35" t="s">
        <v>22</v>
      </c>
      <c r="Q35" t="s">
        <v>57</v>
      </c>
      <c r="R35" t="s">
        <v>99</v>
      </c>
    </row>
    <row r="36" spans="1:18">
      <c r="A36" t="s">
        <v>639</v>
      </c>
      <c r="B36" t="s">
        <v>640</v>
      </c>
      <c r="C36">
        <v>4</v>
      </c>
      <c r="D36">
        <v>-1</v>
      </c>
      <c r="E36" t="s">
        <v>35</v>
      </c>
      <c r="F36" t="s">
        <v>21</v>
      </c>
      <c r="G36" t="s">
        <v>641</v>
      </c>
      <c r="H36" t="s">
        <v>18</v>
      </c>
      <c r="I36" t="s">
        <v>18</v>
      </c>
      <c r="J36" t="s">
        <v>642</v>
      </c>
      <c r="K36" t="s">
        <v>18</v>
      </c>
      <c r="L36" t="s">
        <v>385</v>
      </c>
      <c r="M36" t="s">
        <v>643</v>
      </c>
      <c r="N36" t="s">
        <v>18</v>
      </c>
      <c r="O36" t="s">
        <v>18</v>
      </c>
      <c r="P36" t="s">
        <v>126</v>
      </c>
      <c r="Q36" t="s">
        <v>18</v>
      </c>
      <c r="R36" t="s">
        <v>18</v>
      </c>
    </row>
    <row r="37" spans="1:18">
      <c r="A37" t="s">
        <v>644</v>
      </c>
      <c r="B37" t="s">
        <v>645</v>
      </c>
      <c r="C37">
        <v>4.5999999999999996</v>
      </c>
      <c r="D37">
        <v>-147</v>
      </c>
      <c r="E37" t="s">
        <v>102</v>
      </c>
      <c r="F37" t="s">
        <v>21</v>
      </c>
      <c r="G37" t="s">
        <v>646</v>
      </c>
      <c r="H37" t="s">
        <v>25</v>
      </c>
      <c r="I37" t="s">
        <v>26</v>
      </c>
      <c r="J37" t="s">
        <v>647</v>
      </c>
      <c r="K37" t="s">
        <v>28</v>
      </c>
      <c r="L37" t="s">
        <v>648</v>
      </c>
      <c r="M37" t="s">
        <v>18</v>
      </c>
      <c r="N37" t="s">
        <v>18</v>
      </c>
      <c r="O37" t="s">
        <v>21</v>
      </c>
      <c r="P37" t="s">
        <v>22</v>
      </c>
      <c r="Q37" t="s">
        <v>18</v>
      </c>
      <c r="R37" t="s">
        <v>18</v>
      </c>
    </row>
    <row r="38" spans="1:18">
      <c r="A38" t="s">
        <v>32</v>
      </c>
      <c r="B38" t="s">
        <v>33</v>
      </c>
      <c r="C38">
        <v>4.9000000000000004</v>
      </c>
      <c r="D38">
        <v>-621</v>
      </c>
      <c r="E38" t="s">
        <v>35</v>
      </c>
      <c r="F38" t="s">
        <v>21</v>
      </c>
      <c r="G38" t="s">
        <v>21</v>
      </c>
      <c r="H38" t="s">
        <v>25</v>
      </c>
      <c r="I38" t="s">
        <v>36</v>
      </c>
      <c r="J38" t="s">
        <v>37</v>
      </c>
      <c r="K38" t="s">
        <v>28</v>
      </c>
      <c r="L38" t="s">
        <v>38</v>
      </c>
      <c r="M38" t="s">
        <v>39</v>
      </c>
      <c r="N38" t="s">
        <v>40</v>
      </c>
      <c r="O38" t="s">
        <v>21</v>
      </c>
      <c r="P38" t="s">
        <v>34</v>
      </c>
      <c r="Q38" t="s">
        <v>41</v>
      </c>
      <c r="R38" t="s">
        <v>42</v>
      </c>
    </row>
    <row r="39" spans="1:18">
      <c r="A39" t="s">
        <v>649</v>
      </c>
      <c r="B39" t="s">
        <v>650</v>
      </c>
      <c r="C39">
        <v>4</v>
      </c>
      <c r="D39">
        <v>-124</v>
      </c>
      <c r="E39" t="s">
        <v>35</v>
      </c>
      <c r="F39" t="s">
        <v>21</v>
      </c>
      <c r="G39" t="s">
        <v>651</v>
      </c>
      <c r="H39" t="s">
        <v>94</v>
      </c>
      <c r="I39" t="s">
        <v>213</v>
      </c>
      <c r="J39" t="s">
        <v>652</v>
      </c>
      <c r="K39" t="s">
        <v>28</v>
      </c>
      <c r="L39" t="s">
        <v>531</v>
      </c>
      <c r="M39" t="s">
        <v>77</v>
      </c>
      <c r="N39" t="s">
        <v>653</v>
      </c>
      <c r="O39" t="s">
        <v>21</v>
      </c>
      <c r="P39" t="s">
        <v>126</v>
      </c>
      <c r="Q39" t="s">
        <v>18</v>
      </c>
      <c r="R39" t="s">
        <v>18</v>
      </c>
    </row>
    <row r="40" spans="1:18">
      <c r="A40" t="s">
        <v>654</v>
      </c>
      <c r="B40" t="s">
        <v>655</v>
      </c>
      <c r="C40">
        <v>4.5</v>
      </c>
      <c r="D40">
        <v>-28</v>
      </c>
      <c r="E40" t="s">
        <v>23</v>
      </c>
      <c r="F40" t="s">
        <v>21</v>
      </c>
      <c r="G40" t="s">
        <v>656</v>
      </c>
      <c r="H40" t="s">
        <v>184</v>
      </c>
      <c r="I40" t="s">
        <v>630</v>
      </c>
      <c r="J40" t="s">
        <v>657</v>
      </c>
      <c r="K40" t="s">
        <v>28</v>
      </c>
      <c r="L40" t="s">
        <v>658</v>
      </c>
      <c r="M40" t="s">
        <v>77</v>
      </c>
      <c r="N40" t="s">
        <v>155</v>
      </c>
      <c r="O40" t="s">
        <v>21</v>
      </c>
      <c r="P40" t="s">
        <v>126</v>
      </c>
      <c r="Q40" t="s">
        <v>18</v>
      </c>
      <c r="R40" t="s">
        <v>18</v>
      </c>
    </row>
    <row r="41" spans="1:18">
      <c r="A41" t="s">
        <v>659</v>
      </c>
      <c r="B41" t="s">
        <v>660</v>
      </c>
      <c r="C41">
        <v>4.9000000000000004</v>
      </c>
      <c r="D41">
        <v>-19</v>
      </c>
      <c r="E41" t="s">
        <v>35</v>
      </c>
      <c r="F41" t="s">
        <v>21</v>
      </c>
      <c r="G41" t="s">
        <v>661</v>
      </c>
      <c r="H41" t="s">
        <v>25</v>
      </c>
      <c r="I41" t="s">
        <v>128</v>
      </c>
      <c r="J41" t="s">
        <v>662</v>
      </c>
      <c r="K41" t="s">
        <v>28</v>
      </c>
      <c r="L41" t="s">
        <v>663</v>
      </c>
      <c r="M41" t="s">
        <v>77</v>
      </c>
      <c r="N41" t="s">
        <v>664</v>
      </c>
      <c r="O41" t="s">
        <v>18</v>
      </c>
      <c r="P41" t="s">
        <v>34</v>
      </c>
      <c r="Q41" t="s">
        <v>18</v>
      </c>
      <c r="R41" t="s">
        <v>18</v>
      </c>
    </row>
    <row r="42" spans="1:18">
      <c r="A42" t="s">
        <v>665</v>
      </c>
      <c r="B42" t="s">
        <v>666</v>
      </c>
      <c r="C42">
        <v>4.8</v>
      </c>
      <c r="D42">
        <v>-2258</v>
      </c>
      <c r="E42" t="s">
        <v>255</v>
      </c>
      <c r="F42" t="s">
        <v>21</v>
      </c>
      <c r="G42" t="s">
        <v>21</v>
      </c>
      <c r="H42" t="s">
        <v>25</v>
      </c>
      <c r="I42" t="s">
        <v>135</v>
      </c>
      <c r="J42" t="s">
        <v>667</v>
      </c>
      <c r="K42" t="s">
        <v>28</v>
      </c>
      <c r="L42" t="s">
        <v>668</v>
      </c>
      <c r="M42" t="s">
        <v>18</v>
      </c>
      <c r="N42" t="s">
        <v>18</v>
      </c>
      <c r="O42" t="s">
        <v>21</v>
      </c>
      <c r="P42" t="s">
        <v>34</v>
      </c>
      <c r="Q42" t="s">
        <v>57</v>
      </c>
      <c r="R42" t="s">
        <v>669</v>
      </c>
    </row>
    <row r="43" spans="1:18">
      <c r="A43" t="s">
        <v>670</v>
      </c>
      <c r="B43" t="s">
        <v>671</v>
      </c>
      <c r="C43">
        <v>4.5</v>
      </c>
      <c r="D43">
        <v>-59</v>
      </c>
      <c r="E43" t="s">
        <v>35</v>
      </c>
      <c r="F43" t="s">
        <v>21</v>
      </c>
      <c r="G43" t="s">
        <v>672</v>
      </c>
      <c r="H43" t="s">
        <v>25</v>
      </c>
      <c r="I43" t="s">
        <v>74</v>
      </c>
      <c r="J43" t="s">
        <v>673</v>
      </c>
      <c r="K43" t="s">
        <v>28</v>
      </c>
      <c r="L43" t="s">
        <v>674</v>
      </c>
      <c r="M43" t="s">
        <v>77</v>
      </c>
      <c r="N43" t="s">
        <v>675</v>
      </c>
      <c r="O43" t="s">
        <v>21</v>
      </c>
      <c r="P43" t="s">
        <v>126</v>
      </c>
      <c r="Q43" t="s">
        <v>18</v>
      </c>
      <c r="R43" t="s">
        <v>18</v>
      </c>
    </row>
    <row r="44" spans="1:18">
      <c r="A44" t="s">
        <v>59</v>
      </c>
      <c r="B44" t="s">
        <v>51</v>
      </c>
      <c r="C44">
        <v>4.8</v>
      </c>
      <c r="D44">
        <v>-1365</v>
      </c>
      <c r="E44" t="s">
        <v>23</v>
      </c>
      <c r="F44" t="s">
        <v>21</v>
      </c>
      <c r="G44" t="s">
        <v>60</v>
      </c>
      <c r="H44" t="s">
        <v>25</v>
      </c>
      <c r="I44" t="s">
        <v>52</v>
      </c>
      <c r="J44" t="s">
        <v>61</v>
      </c>
      <c r="K44" t="s">
        <v>28</v>
      </c>
      <c r="L44" t="s">
        <v>62</v>
      </c>
      <c r="M44" t="s">
        <v>30</v>
      </c>
      <c r="N44" t="s">
        <v>63</v>
      </c>
      <c r="O44" t="s">
        <v>18</v>
      </c>
      <c r="P44" t="s">
        <v>34</v>
      </c>
      <c r="Q44" t="s">
        <v>18</v>
      </c>
      <c r="R44" t="s">
        <v>18</v>
      </c>
    </row>
    <row r="45" spans="1:18">
      <c r="A45" t="s">
        <v>43</v>
      </c>
      <c r="B45" t="s">
        <v>44</v>
      </c>
      <c r="C45">
        <v>4.8</v>
      </c>
      <c r="D45">
        <v>-393</v>
      </c>
      <c r="E45" t="s">
        <v>23</v>
      </c>
      <c r="F45" t="s">
        <v>21</v>
      </c>
      <c r="G45" t="s">
        <v>45</v>
      </c>
      <c r="H45" t="s">
        <v>25</v>
      </c>
      <c r="I45" t="s">
        <v>36</v>
      </c>
      <c r="J45" t="s">
        <v>46</v>
      </c>
      <c r="K45" t="s">
        <v>28</v>
      </c>
      <c r="L45" t="s">
        <v>47</v>
      </c>
      <c r="M45" t="s">
        <v>48</v>
      </c>
      <c r="N45" t="s">
        <v>49</v>
      </c>
      <c r="O45" t="s">
        <v>18</v>
      </c>
      <c r="P45" t="s">
        <v>34</v>
      </c>
      <c r="Q45" t="s">
        <v>18</v>
      </c>
      <c r="R45" t="s">
        <v>18</v>
      </c>
    </row>
    <row r="46" spans="1:18">
      <c r="A46" t="s">
        <v>676</v>
      </c>
      <c r="B46" t="s">
        <v>677</v>
      </c>
      <c r="C46">
        <v>4.8</v>
      </c>
      <c r="D46">
        <v>-649</v>
      </c>
      <c r="E46" t="s">
        <v>35</v>
      </c>
      <c r="F46" t="s">
        <v>21</v>
      </c>
      <c r="G46" t="s">
        <v>21</v>
      </c>
      <c r="H46" t="s">
        <v>184</v>
      </c>
      <c r="I46" t="s">
        <v>678</v>
      </c>
      <c r="J46" t="s">
        <v>679</v>
      </c>
      <c r="K46" t="s">
        <v>28</v>
      </c>
      <c r="L46" t="s">
        <v>130</v>
      </c>
      <c r="M46" t="s">
        <v>193</v>
      </c>
      <c r="N46" t="s">
        <v>680</v>
      </c>
      <c r="O46" t="s">
        <v>18</v>
      </c>
      <c r="P46" t="s">
        <v>34</v>
      </c>
      <c r="Q46" t="s">
        <v>57</v>
      </c>
      <c r="R46" t="s">
        <v>681</v>
      </c>
    </row>
    <row r="47" spans="1:18">
      <c r="A47" t="s">
        <v>188</v>
      </c>
      <c r="B47" t="s">
        <v>189</v>
      </c>
      <c r="C47">
        <v>4.9000000000000004</v>
      </c>
      <c r="D47">
        <v>-611</v>
      </c>
      <c r="E47" t="s">
        <v>102</v>
      </c>
      <c r="F47" t="s">
        <v>21</v>
      </c>
      <c r="G47" t="s">
        <v>190</v>
      </c>
      <c r="H47" t="s">
        <v>25</v>
      </c>
      <c r="I47" t="s">
        <v>74</v>
      </c>
      <c r="J47" t="s">
        <v>191</v>
      </c>
      <c r="K47" t="s">
        <v>28</v>
      </c>
      <c r="L47" t="s">
        <v>192</v>
      </c>
      <c r="M47" t="s">
        <v>193</v>
      </c>
      <c r="N47" t="s">
        <v>194</v>
      </c>
      <c r="O47" t="s">
        <v>18</v>
      </c>
      <c r="P47" t="s">
        <v>34</v>
      </c>
      <c r="Q47" t="s">
        <v>18</v>
      </c>
      <c r="R47" t="s">
        <v>18</v>
      </c>
    </row>
    <row r="48" spans="1:18">
      <c r="A48" t="s">
        <v>682</v>
      </c>
      <c r="B48" t="s">
        <v>683</v>
      </c>
      <c r="C48">
        <v>5</v>
      </c>
      <c r="D48">
        <v>-2</v>
      </c>
      <c r="E48" t="s">
        <v>23</v>
      </c>
      <c r="F48" t="s">
        <v>21</v>
      </c>
      <c r="G48" t="s">
        <v>684</v>
      </c>
      <c r="H48" t="s">
        <v>18</v>
      </c>
      <c r="I48" t="s">
        <v>18</v>
      </c>
      <c r="J48" t="s">
        <v>685</v>
      </c>
      <c r="K48" t="s">
        <v>28</v>
      </c>
      <c r="L48" t="s">
        <v>686</v>
      </c>
      <c r="M48" t="s">
        <v>18</v>
      </c>
      <c r="N48" t="s">
        <v>18</v>
      </c>
      <c r="O48" t="s">
        <v>18</v>
      </c>
      <c r="P48" t="s">
        <v>126</v>
      </c>
      <c r="Q48" t="s">
        <v>18</v>
      </c>
      <c r="R48" t="s">
        <v>18</v>
      </c>
    </row>
    <row r="49" spans="1:18">
      <c r="A49" t="s">
        <v>687</v>
      </c>
      <c r="B49" t="s">
        <v>688</v>
      </c>
      <c r="C49">
        <v>4.0999999999999996</v>
      </c>
      <c r="D49">
        <v>-43</v>
      </c>
      <c r="E49" t="s">
        <v>23</v>
      </c>
      <c r="F49" t="s">
        <v>21</v>
      </c>
      <c r="G49" t="s">
        <v>689</v>
      </c>
      <c r="H49" t="s">
        <v>184</v>
      </c>
      <c r="I49" t="s">
        <v>690</v>
      </c>
      <c r="J49" t="s">
        <v>691</v>
      </c>
      <c r="K49" t="s">
        <v>28</v>
      </c>
      <c r="L49" t="s">
        <v>47</v>
      </c>
      <c r="M49" t="s">
        <v>193</v>
      </c>
      <c r="N49" t="s">
        <v>692</v>
      </c>
      <c r="O49" t="s">
        <v>21</v>
      </c>
      <c r="P49" t="s">
        <v>22</v>
      </c>
      <c r="Q49" t="s">
        <v>18</v>
      </c>
      <c r="R49" t="s">
        <v>18</v>
      </c>
    </row>
    <row r="50" spans="1:18">
      <c r="A50" t="s">
        <v>50</v>
      </c>
      <c r="B50" t="s">
        <v>51</v>
      </c>
      <c r="C50">
        <v>4.8</v>
      </c>
      <c r="D50">
        <v>-2220</v>
      </c>
      <c r="E50" t="s">
        <v>23</v>
      </c>
      <c r="F50" t="s">
        <v>21</v>
      </c>
      <c r="G50" t="s">
        <v>21</v>
      </c>
      <c r="H50" t="s">
        <v>25</v>
      </c>
      <c r="I50" t="s">
        <v>52</v>
      </c>
      <c r="J50" t="s">
        <v>53</v>
      </c>
      <c r="K50" t="s">
        <v>28</v>
      </c>
      <c r="L50" t="s">
        <v>54</v>
      </c>
      <c r="M50" t="s">
        <v>55</v>
      </c>
      <c r="N50" t="s">
        <v>56</v>
      </c>
      <c r="O50" t="s">
        <v>18</v>
      </c>
      <c r="P50" t="s">
        <v>34</v>
      </c>
      <c r="Q50" t="s">
        <v>57</v>
      </c>
      <c r="R50" t="s">
        <v>58</v>
      </c>
    </row>
    <row r="51" spans="1:18">
      <c r="A51" t="s">
        <v>85</v>
      </c>
      <c r="B51" t="s">
        <v>86</v>
      </c>
      <c r="C51">
        <v>4.9000000000000004</v>
      </c>
      <c r="D51">
        <v>-1407</v>
      </c>
      <c r="E51" t="s">
        <v>87</v>
      </c>
      <c r="F51" t="s">
        <v>21</v>
      </c>
      <c r="G51" t="s">
        <v>88</v>
      </c>
      <c r="H51" t="s">
        <v>25</v>
      </c>
      <c r="I51" t="s">
        <v>74</v>
      </c>
      <c r="J51" t="s">
        <v>89</v>
      </c>
      <c r="K51" t="s">
        <v>28</v>
      </c>
      <c r="L51" t="s">
        <v>90</v>
      </c>
      <c r="M51" t="s">
        <v>30</v>
      </c>
      <c r="N51" t="s">
        <v>91</v>
      </c>
      <c r="O51" t="s">
        <v>21</v>
      </c>
      <c r="P51" t="s">
        <v>22</v>
      </c>
      <c r="Q51" t="s">
        <v>18</v>
      </c>
      <c r="R51" t="s">
        <v>18</v>
      </c>
    </row>
    <row r="52" spans="1:18">
      <c r="A52" t="s">
        <v>693</v>
      </c>
      <c r="B52" t="s">
        <v>694</v>
      </c>
      <c r="C52">
        <v>5</v>
      </c>
      <c r="D52">
        <v>-10</v>
      </c>
      <c r="E52" t="s">
        <v>35</v>
      </c>
      <c r="F52" t="s">
        <v>21</v>
      </c>
      <c r="G52" t="s">
        <v>695</v>
      </c>
      <c r="H52" t="s">
        <v>25</v>
      </c>
      <c r="I52" t="s">
        <v>26</v>
      </c>
      <c r="J52" t="s">
        <v>696</v>
      </c>
      <c r="K52" t="s">
        <v>28</v>
      </c>
      <c r="L52" t="s">
        <v>697</v>
      </c>
      <c r="M52" t="s">
        <v>18</v>
      </c>
      <c r="N52" t="s">
        <v>18</v>
      </c>
      <c r="O52" t="s">
        <v>21</v>
      </c>
      <c r="P52" t="s">
        <v>22</v>
      </c>
      <c r="Q52" t="s">
        <v>18</v>
      </c>
      <c r="R52" t="s">
        <v>18</v>
      </c>
    </row>
    <row r="53" spans="1:18">
      <c r="A53" t="s">
        <v>140</v>
      </c>
      <c r="B53" t="s">
        <v>141</v>
      </c>
      <c r="C53">
        <v>4.9000000000000004</v>
      </c>
      <c r="D53">
        <v>-420</v>
      </c>
      <c r="E53" t="s">
        <v>142</v>
      </c>
      <c r="F53" t="s">
        <v>21</v>
      </c>
      <c r="G53" t="s">
        <v>143</v>
      </c>
      <c r="H53" t="s">
        <v>25</v>
      </c>
      <c r="I53" t="s">
        <v>52</v>
      </c>
      <c r="J53" t="s">
        <v>144</v>
      </c>
      <c r="K53" t="s">
        <v>28</v>
      </c>
      <c r="L53" t="s">
        <v>105</v>
      </c>
      <c r="M53" t="s">
        <v>30</v>
      </c>
      <c r="N53" t="s">
        <v>145</v>
      </c>
      <c r="O53" t="s">
        <v>18</v>
      </c>
      <c r="P53" t="s">
        <v>22</v>
      </c>
      <c r="Q53" t="s">
        <v>18</v>
      </c>
      <c r="R53" t="s">
        <v>18</v>
      </c>
    </row>
    <row r="54" spans="1:18">
      <c r="A54" t="s">
        <v>113</v>
      </c>
      <c r="B54" t="s">
        <v>114</v>
      </c>
      <c r="C54">
        <v>4.8</v>
      </c>
      <c r="D54">
        <v>-634</v>
      </c>
      <c r="E54" t="s">
        <v>35</v>
      </c>
      <c r="F54" t="s">
        <v>21</v>
      </c>
      <c r="G54" t="s">
        <v>115</v>
      </c>
      <c r="H54" t="s">
        <v>25</v>
      </c>
      <c r="I54" t="s">
        <v>26</v>
      </c>
      <c r="J54" t="s">
        <v>116</v>
      </c>
      <c r="K54" t="s">
        <v>28</v>
      </c>
      <c r="L54" t="s">
        <v>117</v>
      </c>
      <c r="M54" t="s">
        <v>18</v>
      </c>
      <c r="N54" t="s">
        <v>18</v>
      </c>
      <c r="O54" t="s">
        <v>18</v>
      </c>
      <c r="P54" t="s">
        <v>34</v>
      </c>
      <c r="Q54" t="s">
        <v>18</v>
      </c>
      <c r="R54" t="s">
        <v>18</v>
      </c>
    </row>
    <row r="55" spans="1:18">
      <c r="A55" t="s">
        <v>356</v>
      </c>
      <c r="B55" t="s">
        <v>357</v>
      </c>
      <c r="C55">
        <v>4.9000000000000004</v>
      </c>
      <c r="D55">
        <v>-834</v>
      </c>
      <c r="E55" t="s">
        <v>35</v>
      </c>
      <c r="F55" t="s">
        <v>21</v>
      </c>
      <c r="G55" t="s">
        <v>358</v>
      </c>
      <c r="H55" t="s">
        <v>25</v>
      </c>
      <c r="I55" t="s">
        <v>74</v>
      </c>
      <c r="J55" t="s">
        <v>359</v>
      </c>
      <c r="K55" t="s">
        <v>28</v>
      </c>
      <c r="L55" t="s">
        <v>105</v>
      </c>
      <c r="M55" t="s">
        <v>30</v>
      </c>
      <c r="N55" t="s">
        <v>360</v>
      </c>
      <c r="O55" t="s">
        <v>21</v>
      </c>
      <c r="P55" t="s">
        <v>22</v>
      </c>
      <c r="Q55" t="s">
        <v>18</v>
      </c>
      <c r="R55" t="s">
        <v>18</v>
      </c>
    </row>
    <row r="56" spans="1:18">
      <c r="A56" t="s">
        <v>698</v>
      </c>
      <c r="B56" t="s">
        <v>699</v>
      </c>
      <c r="C56">
        <v>4.8</v>
      </c>
      <c r="D56">
        <v>-124</v>
      </c>
      <c r="E56" t="s">
        <v>35</v>
      </c>
      <c r="F56" t="s">
        <v>21</v>
      </c>
      <c r="G56" t="s">
        <v>700</v>
      </c>
      <c r="H56" t="s">
        <v>701</v>
      </c>
      <c r="I56" t="s">
        <v>18</v>
      </c>
      <c r="J56" t="s">
        <v>702</v>
      </c>
      <c r="K56" t="s">
        <v>28</v>
      </c>
      <c r="L56" t="s">
        <v>105</v>
      </c>
      <c r="M56" t="s">
        <v>48</v>
      </c>
      <c r="N56" t="s">
        <v>703</v>
      </c>
      <c r="O56" t="s">
        <v>21</v>
      </c>
      <c r="P56" t="s">
        <v>22</v>
      </c>
      <c r="Q56" t="s">
        <v>18</v>
      </c>
      <c r="R56" t="s">
        <v>18</v>
      </c>
    </row>
    <row r="57" spans="1:18">
      <c r="A57" t="s">
        <v>704</v>
      </c>
      <c r="B57" t="s">
        <v>705</v>
      </c>
      <c r="C57">
        <v>4.5</v>
      </c>
      <c r="D57">
        <v>-265</v>
      </c>
      <c r="E57" t="s">
        <v>23</v>
      </c>
      <c r="F57" t="s">
        <v>21</v>
      </c>
      <c r="G57" t="s">
        <v>21</v>
      </c>
      <c r="H57" t="s">
        <v>25</v>
      </c>
      <c r="I57" t="s">
        <v>26</v>
      </c>
      <c r="J57" t="s">
        <v>706</v>
      </c>
      <c r="K57" t="s">
        <v>28</v>
      </c>
      <c r="L57" t="s">
        <v>707</v>
      </c>
      <c r="M57" t="s">
        <v>30</v>
      </c>
      <c r="N57" t="s">
        <v>708</v>
      </c>
      <c r="O57" t="s">
        <v>21</v>
      </c>
      <c r="P57" t="s">
        <v>22</v>
      </c>
      <c r="Q57" t="s">
        <v>57</v>
      </c>
      <c r="R57" t="s">
        <v>709</v>
      </c>
    </row>
    <row r="58" spans="1:18">
      <c r="A58" t="s">
        <v>710</v>
      </c>
      <c r="B58" t="s">
        <v>711</v>
      </c>
      <c r="C58">
        <v>4.5999999999999996</v>
      </c>
      <c r="D58">
        <v>-1067</v>
      </c>
      <c r="E58" t="s">
        <v>712</v>
      </c>
      <c r="F58" t="s">
        <v>21</v>
      </c>
      <c r="G58" t="s">
        <v>713</v>
      </c>
      <c r="H58" t="s">
        <v>184</v>
      </c>
      <c r="I58" t="s">
        <v>678</v>
      </c>
      <c r="J58" t="s">
        <v>714</v>
      </c>
      <c r="K58" t="s">
        <v>28</v>
      </c>
      <c r="L58" t="s">
        <v>715</v>
      </c>
      <c r="M58" t="s">
        <v>30</v>
      </c>
      <c r="N58" t="s">
        <v>527</v>
      </c>
      <c r="O58" t="s">
        <v>21</v>
      </c>
      <c r="P58" t="s">
        <v>22</v>
      </c>
      <c r="Q58" t="s">
        <v>18</v>
      </c>
      <c r="R58" t="s">
        <v>18</v>
      </c>
    </row>
    <row r="59" spans="1:18">
      <c r="A59" t="s">
        <v>64</v>
      </c>
      <c r="B59" t="s">
        <v>65</v>
      </c>
      <c r="C59">
        <v>4.9000000000000004</v>
      </c>
      <c r="D59">
        <v>-1857</v>
      </c>
      <c r="E59" t="s">
        <v>23</v>
      </c>
      <c r="F59" t="s">
        <v>21</v>
      </c>
      <c r="G59" t="s">
        <v>66</v>
      </c>
      <c r="H59" t="s">
        <v>25</v>
      </c>
      <c r="I59" t="s">
        <v>52</v>
      </c>
      <c r="J59" t="s">
        <v>67</v>
      </c>
      <c r="K59" t="s">
        <v>28</v>
      </c>
      <c r="L59" t="s">
        <v>68</v>
      </c>
      <c r="M59" t="s">
        <v>69</v>
      </c>
      <c r="N59" t="s">
        <v>70</v>
      </c>
      <c r="O59" t="s">
        <v>21</v>
      </c>
      <c r="P59" t="s">
        <v>22</v>
      </c>
      <c r="Q59" t="s">
        <v>18</v>
      </c>
      <c r="R59" t="s">
        <v>18</v>
      </c>
    </row>
    <row r="60" spans="1:18">
      <c r="A60" t="s">
        <v>71</v>
      </c>
      <c r="B60" t="s">
        <v>72</v>
      </c>
      <c r="C60">
        <v>4.7</v>
      </c>
      <c r="D60">
        <v>-910</v>
      </c>
      <c r="E60" t="s">
        <v>35</v>
      </c>
      <c r="F60" t="s">
        <v>21</v>
      </c>
      <c r="G60" t="s">
        <v>73</v>
      </c>
      <c r="H60" t="s">
        <v>25</v>
      </c>
      <c r="I60" t="s">
        <v>74</v>
      </c>
      <c r="J60" t="s">
        <v>75</v>
      </c>
      <c r="K60" t="s">
        <v>28</v>
      </c>
      <c r="L60" t="s">
        <v>76</v>
      </c>
      <c r="M60" t="s">
        <v>77</v>
      </c>
      <c r="N60" t="s">
        <v>78</v>
      </c>
      <c r="O60" t="s">
        <v>21</v>
      </c>
      <c r="P60" t="s">
        <v>34</v>
      </c>
      <c r="Q60" t="s">
        <v>18</v>
      </c>
      <c r="R60" t="s">
        <v>18</v>
      </c>
    </row>
    <row r="61" spans="1:18">
      <c r="A61" t="s">
        <v>330</v>
      </c>
      <c r="B61" t="s">
        <v>331</v>
      </c>
      <c r="C61">
        <v>4.5</v>
      </c>
      <c r="D61">
        <v>-169</v>
      </c>
      <c r="E61" t="s">
        <v>23</v>
      </c>
      <c r="F61" t="s">
        <v>21</v>
      </c>
      <c r="G61" t="s">
        <v>332</v>
      </c>
      <c r="H61" t="s">
        <v>25</v>
      </c>
      <c r="I61" t="s">
        <v>52</v>
      </c>
      <c r="J61" t="s">
        <v>333</v>
      </c>
      <c r="K61" t="s">
        <v>28</v>
      </c>
      <c r="L61" t="s">
        <v>90</v>
      </c>
      <c r="M61" t="s">
        <v>77</v>
      </c>
      <c r="N61" t="s">
        <v>334</v>
      </c>
      <c r="O61" t="s">
        <v>21</v>
      </c>
      <c r="P61" t="s">
        <v>22</v>
      </c>
      <c r="Q61" t="s">
        <v>18</v>
      </c>
      <c r="R61" t="s">
        <v>18</v>
      </c>
    </row>
    <row r="62" spans="1:18">
      <c r="A62" t="s">
        <v>118</v>
      </c>
      <c r="B62" t="s">
        <v>119</v>
      </c>
      <c r="C62">
        <v>4.8</v>
      </c>
      <c r="D62">
        <v>-314</v>
      </c>
      <c r="E62" t="s">
        <v>23</v>
      </c>
      <c r="F62" t="s">
        <v>21</v>
      </c>
      <c r="G62" t="s">
        <v>120</v>
      </c>
      <c r="H62" t="s">
        <v>25</v>
      </c>
      <c r="I62" t="s">
        <v>52</v>
      </c>
      <c r="J62" t="s">
        <v>121</v>
      </c>
      <c r="K62" t="s">
        <v>28</v>
      </c>
      <c r="L62" t="s">
        <v>122</v>
      </c>
      <c r="M62" t="s">
        <v>39</v>
      </c>
      <c r="N62" t="s">
        <v>123</v>
      </c>
      <c r="O62" t="s">
        <v>18</v>
      </c>
      <c r="P62" t="s">
        <v>34</v>
      </c>
      <c r="Q62" t="s">
        <v>18</v>
      </c>
      <c r="R62" t="s">
        <v>18</v>
      </c>
    </row>
    <row r="63" spans="1:18">
      <c r="A63" t="s">
        <v>253</v>
      </c>
      <c r="B63" t="s">
        <v>254</v>
      </c>
      <c r="C63">
        <v>4.9000000000000004</v>
      </c>
      <c r="D63">
        <v>-2810</v>
      </c>
      <c r="E63" t="s">
        <v>255</v>
      </c>
      <c r="F63" t="s">
        <v>21</v>
      </c>
      <c r="G63" t="s">
        <v>256</v>
      </c>
      <c r="H63" t="s">
        <v>25</v>
      </c>
      <c r="I63" t="s">
        <v>74</v>
      </c>
      <c r="J63" t="s">
        <v>257</v>
      </c>
      <c r="K63" t="s">
        <v>28</v>
      </c>
      <c r="L63" t="s">
        <v>258</v>
      </c>
      <c r="M63" t="s">
        <v>77</v>
      </c>
      <c r="N63" t="s">
        <v>259</v>
      </c>
      <c r="O63" t="s">
        <v>18</v>
      </c>
      <c r="P63" t="s">
        <v>34</v>
      </c>
      <c r="Q63" t="s">
        <v>18</v>
      </c>
      <c r="R63" t="s">
        <v>18</v>
      </c>
    </row>
    <row r="64" spans="1:18">
      <c r="A64" t="s">
        <v>379</v>
      </c>
      <c r="B64" t="s">
        <v>380</v>
      </c>
      <c r="C64">
        <v>4.9000000000000004</v>
      </c>
      <c r="D64">
        <v>-333</v>
      </c>
      <c r="E64" t="s">
        <v>381</v>
      </c>
      <c r="F64" t="s">
        <v>21</v>
      </c>
      <c r="G64" t="s">
        <v>382</v>
      </c>
      <c r="H64" t="s">
        <v>25</v>
      </c>
      <c r="I64" t="s">
        <v>26</v>
      </c>
      <c r="J64" t="s">
        <v>383</v>
      </c>
      <c r="K64" t="s">
        <v>384</v>
      </c>
      <c r="L64" t="s">
        <v>385</v>
      </c>
      <c r="M64" t="s">
        <v>386</v>
      </c>
      <c r="N64" t="s">
        <v>18</v>
      </c>
      <c r="O64" t="s">
        <v>18</v>
      </c>
      <c r="P64" t="s">
        <v>34</v>
      </c>
      <c r="Q64" t="s">
        <v>18</v>
      </c>
      <c r="R64" t="s">
        <v>18</v>
      </c>
    </row>
    <row r="65" spans="1:18">
      <c r="A65" t="s">
        <v>379</v>
      </c>
      <c r="B65" t="s">
        <v>380</v>
      </c>
      <c r="C65">
        <v>4.9000000000000004</v>
      </c>
      <c r="D65">
        <v>-333</v>
      </c>
      <c r="E65" t="s">
        <v>381</v>
      </c>
      <c r="F65" t="s">
        <v>21</v>
      </c>
      <c r="G65" t="s">
        <v>382</v>
      </c>
      <c r="H65" t="s">
        <v>25</v>
      </c>
      <c r="I65" t="s">
        <v>26</v>
      </c>
      <c r="J65" t="s">
        <v>383</v>
      </c>
      <c r="K65" t="s">
        <v>384</v>
      </c>
      <c r="L65" t="s">
        <v>385</v>
      </c>
      <c r="M65" t="s">
        <v>386</v>
      </c>
      <c r="N65" t="s">
        <v>18</v>
      </c>
      <c r="O65" t="s">
        <v>18</v>
      </c>
      <c r="P65" t="s">
        <v>34</v>
      </c>
      <c r="Q65" t="s">
        <v>18</v>
      </c>
      <c r="R65" t="s">
        <v>18</v>
      </c>
    </row>
    <row r="66" spans="1:18">
      <c r="A66" t="s">
        <v>716</v>
      </c>
      <c r="B66" t="s">
        <v>717</v>
      </c>
      <c r="C66">
        <v>5</v>
      </c>
      <c r="D66">
        <v>-1</v>
      </c>
      <c r="E66" t="s">
        <v>23</v>
      </c>
      <c r="F66" t="s">
        <v>21</v>
      </c>
      <c r="G66" t="s">
        <v>718</v>
      </c>
      <c r="H66" t="s">
        <v>18</v>
      </c>
      <c r="I66" t="s">
        <v>18</v>
      </c>
      <c r="J66" t="s">
        <v>719</v>
      </c>
      <c r="K66" t="s">
        <v>18</v>
      </c>
      <c r="L66" t="s">
        <v>385</v>
      </c>
      <c r="M66" t="s">
        <v>18</v>
      </c>
      <c r="N66" t="s">
        <v>18</v>
      </c>
      <c r="O66" t="s">
        <v>18</v>
      </c>
      <c r="P66" t="s">
        <v>126</v>
      </c>
      <c r="Q66" t="s">
        <v>18</v>
      </c>
      <c r="R66" t="s">
        <v>18</v>
      </c>
    </row>
    <row r="67" spans="1:18">
      <c r="A67" t="s">
        <v>217</v>
      </c>
      <c r="B67" t="s">
        <v>218</v>
      </c>
      <c r="C67">
        <v>4.9000000000000004</v>
      </c>
      <c r="D67">
        <v>-1419</v>
      </c>
      <c r="E67" t="s">
        <v>35</v>
      </c>
      <c r="F67" t="s">
        <v>21</v>
      </c>
      <c r="G67" t="s">
        <v>219</v>
      </c>
      <c r="H67" t="s">
        <v>25</v>
      </c>
      <c r="I67" t="s">
        <v>128</v>
      </c>
      <c r="J67" t="s">
        <v>220</v>
      </c>
      <c r="K67" t="s">
        <v>28</v>
      </c>
      <c r="L67" t="s">
        <v>105</v>
      </c>
      <c r="M67" t="s">
        <v>30</v>
      </c>
      <c r="N67" t="s">
        <v>221</v>
      </c>
      <c r="O67" t="s">
        <v>21</v>
      </c>
      <c r="P67" t="s">
        <v>22</v>
      </c>
      <c r="Q67" t="s">
        <v>18</v>
      </c>
      <c r="R67" t="s">
        <v>18</v>
      </c>
    </row>
    <row r="68" spans="1:18">
      <c r="A68" t="s">
        <v>720</v>
      </c>
      <c r="B68" t="s">
        <v>721</v>
      </c>
      <c r="C68">
        <v>5</v>
      </c>
      <c r="D68">
        <v>-20</v>
      </c>
      <c r="E68" t="s">
        <v>35</v>
      </c>
      <c r="F68" t="s">
        <v>21</v>
      </c>
      <c r="G68" t="s">
        <v>722</v>
      </c>
      <c r="H68" t="s">
        <v>184</v>
      </c>
      <c r="I68" t="s">
        <v>236</v>
      </c>
      <c r="J68" t="s">
        <v>723</v>
      </c>
      <c r="K68" t="s">
        <v>28</v>
      </c>
      <c r="L68" t="s">
        <v>105</v>
      </c>
      <c r="M68" t="s">
        <v>48</v>
      </c>
      <c r="N68" t="s">
        <v>724</v>
      </c>
      <c r="O68" t="s">
        <v>21</v>
      </c>
      <c r="P68" t="s">
        <v>126</v>
      </c>
      <c r="Q68" t="s">
        <v>18</v>
      </c>
      <c r="R68" t="s">
        <v>18</v>
      </c>
    </row>
    <row r="69" spans="1:18">
      <c r="A69" t="s">
        <v>725</v>
      </c>
      <c r="B69" t="s">
        <v>726</v>
      </c>
      <c r="C69">
        <v>4.5</v>
      </c>
      <c r="D69">
        <v>-146</v>
      </c>
      <c r="E69" t="s">
        <v>23</v>
      </c>
      <c r="F69" t="s">
        <v>21</v>
      </c>
      <c r="G69" t="s">
        <v>727</v>
      </c>
      <c r="H69" t="s">
        <v>25</v>
      </c>
      <c r="I69" t="s">
        <v>74</v>
      </c>
      <c r="J69" t="s">
        <v>728</v>
      </c>
      <c r="K69" t="s">
        <v>28</v>
      </c>
      <c r="L69" t="s">
        <v>729</v>
      </c>
      <c r="M69" t="s">
        <v>39</v>
      </c>
      <c r="N69" t="s">
        <v>730</v>
      </c>
      <c r="O69" t="s">
        <v>21</v>
      </c>
      <c r="P69" t="s">
        <v>22</v>
      </c>
      <c r="Q69" t="s">
        <v>18</v>
      </c>
      <c r="R69" t="s">
        <v>18</v>
      </c>
    </row>
    <row r="70" spans="1:18">
      <c r="A70" t="s">
        <v>731</v>
      </c>
      <c r="B70" t="s">
        <v>732</v>
      </c>
      <c r="C70">
        <v>4.4000000000000004</v>
      </c>
      <c r="D70">
        <v>-453</v>
      </c>
      <c r="E70" t="s">
        <v>23</v>
      </c>
      <c r="F70" t="s">
        <v>21</v>
      </c>
      <c r="G70" t="s">
        <v>21</v>
      </c>
      <c r="H70" t="s">
        <v>184</v>
      </c>
      <c r="I70" t="s">
        <v>320</v>
      </c>
      <c r="J70" t="s">
        <v>733</v>
      </c>
      <c r="K70" t="s">
        <v>28</v>
      </c>
      <c r="L70" t="s">
        <v>105</v>
      </c>
      <c r="M70" t="s">
        <v>30</v>
      </c>
      <c r="N70" t="s">
        <v>734</v>
      </c>
      <c r="O70" t="s">
        <v>21</v>
      </c>
      <c r="P70" t="s">
        <v>22</v>
      </c>
      <c r="Q70" t="s">
        <v>41</v>
      </c>
      <c r="R70" t="s">
        <v>735</v>
      </c>
    </row>
    <row r="71" spans="1:18">
      <c r="A71" t="s">
        <v>736</v>
      </c>
      <c r="B71" t="s">
        <v>737</v>
      </c>
      <c r="C71">
        <v>3.7</v>
      </c>
      <c r="D71">
        <v>-28</v>
      </c>
      <c r="E71" t="s">
        <v>35</v>
      </c>
      <c r="F71" t="s">
        <v>21</v>
      </c>
      <c r="G71" t="s">
        <v>738</v>
      </c>
      <c r="H71" t="s">
        <v>184</v>
      </c>
      <c r="I71" t="s">
        <v>507</v>
      </c>
      <c r="J71" t="s">
        <v>739</v>
      </c>
      <c r="K71" t="s">
        <v>28</v>
      </c>
      <c r="L71" t="s">
        <v>740</v>
      </c>
      <c r="M71" t="s">
        <v>18</v>
      </c>
      <c r="N71" t="s">
        <v>18</v>
      </c>
      <c r="O71" t="s">
        <v>21</v>
      </c>
      <c r="P71" t="s">
        <v>126</v>
      </c>
      <c r="Q71" t="s">
        <v>18</v>
      </c>
      <c r="R71" t="s">
        <v>18</v>
      </c>
    </row>
    <row r="72" spans="1:18">
      <c r="A72" t="s">
        <v>79</v>
      </c>
      <c r="B72" t="s">
        <v>80</v>
      </c>
      <c r="C72">
        <v>4.9000000000000004</v>
      </c>
      <c r="D72">
        <v>-2355</v>
      </c>
      <c r="E72" t="s">
        <v>35</v>
      </c>
      <c r="F72" t="s">
        <v>21</v>
      </c>
      <c r="G72" t="s">
        <v>21</v>
      </c>
      <c r="H72" t="s">
        <v>25</v>
      </c>
      <c r="I72" t="s">
        <v>81</v>
      </c>
      <c r="J72" t="s">
        <v>82</v>
      </c>
      <c r="K72" t="s">
        <v>28</v>
      </c>
      <c r="L72" t="s">
        <v>83</v>
      </c>
      <c r="M72" t="s">
        <v>77</v>
      </c>
      <c r="N72" t="s">
        <v>78</v>
      </c>
      <c r="O72" t="s">
        <v>21</v>
      </c>
      <c r="P72" t="s">
        <v>22</v>
      </c>
      <c r="Q72" t="s">
        <v>41</v>
      </c>
      <c r="R72" t="s">
        <v>84</v>
      </c>
    </row>
    <row r="73" spans="1:18">
      <c r="A73" t="s">
        <v>741</v>
      </c>
      <c r="B73" t="s">
        <v>742</v>
      </c>
      <c r="C73">
        <v>4.8</v>
      </c>
      <c r="D73">
        <v>-641</v>
      </c>
      <c r="E73" t="s">
        <v>35</v>
      </c>
      <c r="F73" t="s">
        <v>21</v>
      </c>
      <c r="G73" t="s">
        <v>21</v>
      </c>
      <c r="H73" t="s">
        <v>25</v>
      </c>
      <c r="I73" t="s">
        <v>135</v>
      </c>
      <c r="J73" t="s">
        <v>743</v>
      </c>
      <c r="K73" t="s">
        <v>28</v>
      </c>
      <c r="L73" t="s">
        <v>105</v>
      </c>
      <c r="M73" t="s">
        <v>77</v>
      </c>
      <c r="N73" t="s">
        <v>744</v>
      </c>
      <c r="O73" t="s">
        <v>21</v>
      </c>
      <c r="P73" t="s">
        <v>22</v>
      </c>
      <c r="Q73" t="s">
        <v>41</v>
      </c>
      <c r="R73" t="s">
        <v>745</v>
      </c>
    </row>
    <row r="74" spans="1:18">
      <c r="A74" t="s">
        <v>746</v>
      </c>
      <c r="B74" t="s">
        <v>747</v>
      </c>
      <c r="C74">
        <v>4.7</v>
      </c>
      <c r="D74">
        <v>-977</v>
      </c>
      <c r="E74" t="s">
        <v>35</v>
      </c>
      <c r="F74" t="s">
        <v>21</v>
      </c>
      <c r="G74" t="s">
        <v>21</v>
      </c>
      <c r="H74" t="s">
        <v>25</v>
      </c>
      <c r="I74" t="s">
        <v>74</v>
      </c>
      <c r="J74" t="s">
        <v>748</v>
      </c>
      <c r="K74" t="s">
        <v>28</v>
      </c>
      <c r="L74" t="s">
        <v>62</v>
      </c>
      <c r="M74" t="s">
        <v>749</v>
      </c>
      <c r="N74" t="s">
        <v>750</v>
      </c>
      <c r="O74" t="s">
        <v>21</v>
      </c>
      <c r="P74" t="s">
        <v>22</v>
      </c>
      <c r="Q74" t="s">
        <v>57</v>
      </c>
      <c r="R74" t="s">
        <v>751</v>
      </c>
    </row>
    <row r="75" spans="1:18">
      <c r="A75" t="s">
        <v>752</v>
      </c>
      <c r="B75" t="s">
        <v>753</v>
      </c>
      <c r="C75">
        <v>4.9000000000000004</v>
      </c>
      <c r="D75">
        <v>-11763</v>
      </c>
      <c r="E75" t="s">
        <v>35</v>
      </c>
      <c r="F75" t="s">
        <v>21</v>
      </c>
      <c r="G75" t="s">
        <v>754</v>
      </c>
      <c r="H75" t="s">
        <v>25</v>
      </c>
      <c r="I75" t="s">
        <v>36</v>
      </c>
      <c r="J75" t="s">
        <v>755</v>
      </c>
      <c r="K75" t="s">
        <v>28</v>
      </c>
      <c r="L75" t="s">
        <v>756</v>
      </c>
      <c r="M75" t="s">
        <v>77</v>
      </c>
      <c r="N75" t="s">
        <v>757</v>
      </c>
      <c r="O75" t="s">
        <v>18</v>
      </c>
      <c r="P75" t="s">
        <v>22</v>
      </c>
      <c r="Q75" t="s">
        <v>18</v>
      </c>
      <c r="R75" t="s">
        <v>18</v>
      </c>
    </row>
    <row r="76" spans="1:18">
      <c r="A76" t="s">
        <v>758</v>
      </c>
      <c r="B76" t="s">
        <v>759</v>
      </c>
      <c r="C76">
        <v>4.5</v>
      </c>
      <c r="D76">
        <v>-190</v>
      </c>
      <c r="E76" t="s">
        <v>102</v>
      </c>
      <c r="F76" t="s">
        <v>21</v>
      </c>
      <c r="G76" t="s">
        <v>21</v>
      </c>
      <c r="H76" t="s">
        <v>25</v>
      </c>
      <c r="I76" t="s">
        <v>52</v>
      </c>
      <c r="J76" t="s">
        <v>760</v>
      </c>
      <c r="K76" t="s">
        <v>28</v>
      </c>
      <c r="L76" t="s">
        <v>761</v>
      </c>
      <c r="M76" t="s">
        <v>193</v>
      </c>
      <c r="N76" t="s">
        <v>762</v>
      </c>
      <c r="O76" t="s">
        <v>21</v>
      </c>
      <c r="P76" t="s">
        <v>22</v>
      </c>
      <c r="Q76" t="s">
        <v>57</v>
      </c>
      <c r="R76" t="s">
        <v>763</v>
      </c>
    </row>
    <row r="77" spans="1:18">
      <c r="A77" t="s">
        <v>764</v>
      </c>
      <c r="B77" t="s">
        <v>765</v>
      </c>
      <c r="C77">
        <v>4.5</v>
      </c>
      <c r="D77">
        <v>-68</v>
      </c>
      <c r="E77" t="s">
        <v>35</v>
      </c>
      <c r="F77" t="s">
        <v>21</v>
      </c>
      <c r="G77" t="s">
        <v>766</v>
      </c>
      <c r="H77" t="s">
        <v>25</v>
      </c>
      <c r="I77" t="s">
        <v>128</v>
      </c>
      <c r="J77" t="s">
        <v>767</v>
      </c>
      <c r="K77" t="s">
        <v>28</v>
      </c>
      <c r="L77" t="s">
        <v>768</v>
      </c>
      <c r="M77" t="s">
        <v>77</v>
      </c>
      <c r="N77" t="s">
        <v>769</v>
      </c>
      <c r="O77" t="s">
        <v>21</v>
      </c>
      <c r="P77" t="s">
        <v>126</v>
      </c>
      <c r="Q77" t="s">
        <v>18</v>
      </c>
      <c r="R77" t="s">
        <v>18</v>
      </c>
    </row>
    <row r="78" spans="1:18">
      <c r="A78" t="s">
        <v>222</v>
      </c>
      <c r="B78" t="s">
        <v>223</v>
      </c>
      <c r="C78">
        <v>4.3</v>
      </c>
      <c r="D78">
        <v>-489</v>
      </c>
      <c r="E78" t="s">
        <v>23</v>
      </c>
      <c r="F78" t="s">
        <v>21</v>
      </c>
      <c r="G78" t="s">
        <v>21</v>
      </c>
      <c r="H78" t="s">
        <v>25</v>
      </c>
      <c r="I78" t="s">
        <v>224</v>
      </c>
      <c r="J78" t="s">
        <v>225</v>
      </c>
      <c r="K78" t="s">
        <v>28</v>
      </c>
      <c r="L78" t="s">
        <v>105</v>
      </c>
      <c r="M78" t="s">
        <v>48</v>
      </c>
      <c r="N78" t="s">
        <v>226</v>
      </c>
      <c r="O78" t="s">
        <v>21</v>
      </c>
      <c r="P78" t="s">
        <v>22</v>
      </c>
      <c r="Q78" t="s">
        <v>41</v>
      </c>
      <c r="R78" t="s">
        <v>227</v>
      </c>
    </row>
    <row r="79" spans="1:18">
      <c r="A79" t="s">
        <v>157</v>
      </c>
      <c r="B79" t="s">
        <v>158</v>
      </c>
      <c r="C79">
        <v>4.7</v>
      </c>
      <c r="D79">
        <v>-507</v>
      </c>
      <c r="E79" t="s">
        <v>35</v>
      </c>
      <c r="F79" t="s">
        <v>21</v>
      </c>
      <c r="G79" t="s">
        <v>21</v>
      </c>
      <c r="H79" t="s">
        <v>25</v>
      </c>
      <c r="I79" t="s">
        <v>36</v>
      </c>
      <c r="J79" t="s">
        <v>159</v>
      </c>
      <c r="K79" t="s">
        <v>28</v>
      </c>
      <c r="L79" t="s">
        <v>160</v>
      </c>
      <c r="M79" t="s">
        <v>30</v>
      </c>
      <c r="N79" t="s">
        <v>161</v>
      </c>
      <c r="O79" t="s">
        <v>21</v>
      </c>
      <c r="P79" t="s">
        <v>22</v>
      </c>
      <c r="Q79" t="s">
        <v>41</v>
      </c>
      <c r="R79" t="s">
        <v>162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3023-A41C-4031-A6C2-5CBF6225F7C0}">
  <dimension ref="A1:R118"/>
  <sheetViews>
    <sheetView workbookViewId="0">
      <selection activeCell="B19" sqref="B19"/>
    </sheetView>
  </sheetViews>
  <sheetFormatPr defaultRowHeight="15"/>
  <cols>
    <col min="1" max="2" width="81.140625" bestFit="1" customWidth="1"/>
    <col min="3" max="3" width="10.7109375" bestFit="1" customWidth="1"/>
    <col min="4" max="4" width="8.7109375" bestFit="1" customWidth="1"/>
    <col min="5" max="5" width="9.42578125" bestFit="1" customWidth="1"/>
    <col min="6" max="6" width="11.140625" bestFit="1" customWidth="1"/>
    <col min="7" max="7" width="20.28515625" bestFit="1" customWidth="1"/>
    <col min="8" max="8" width="11.5703125" bestFit="1" customWidth="1"/>
    <col min="9" max="9" width="81.140625" bestFit="1" customWidth="1"/>
    <col min="10" max="10" width="11.5703125" bestFit="1" customWidth="1"/>
    <col min="11" max="11" width="31.85546875" bestFit="1" customWidth="1"/>
    <col min="12" max="13" width="81.140625" bestFit="1" customWidth="1"/>
    <col min="14" max="14" width="71.140625" bestFit="1" customWidth="1"/>
    <col min="15" max="15" width="20" bestFit="1" customWidth="1"/>
    <col min="16" max="16" width="60.42578125" bestFit="1" customWidth="1"/>
    <col min="17" max="17" width="9.7109375" bestFit="1" customWidth="1"/>
    <col min="18" max="18" width="28.2851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>
      <c r="A3" t="s">
        <v>18</v>
      </c>
      <c r="B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</row>
    <row r="4" spans="1:18">
      <c r="A4" t="s">
        <v>19</v>
      </c>
      <c r="B4" t="s">
        <v>20</v>
      </c>
      <c r="C4">
        <v>4.9000000000000004</v>
      </c>
      <c r="D4">
        <v>-664</v>
      </c>
      <c r="E4" t="s">
        <v>21</v>
      </c>
      <c r="F4" t="s">
        <v>22</v>
      </c>
      <c r="G4" t="s">
        <v>23</v>
      </c>
      <c r="H4" t="s">
        <v>21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18</v>
      </c>
      <c r="R4" t="s">
        <v>18</v>
      </c>
    </row>
    <row r="5" spans="1:18">
      <c r="A5" t="s">
        <v>32</v>
      </c>
      <c r="B5" t="s">
        <v>33</v>
      </c>
      <c r="C5">
        <v>4.9000000000000004</v>
      </c>
      <c r="D5">
        <v>-621</v>
      </c>
      <c r="E5" t="s">
        <v>21</v>
      </c>
      <c r="F5" t="s">
        <v>34</v>
      </c>
      <c r="G5" t="s">
        <v>35</v>
      </c>
      <c r="H5" t="s">
        <v>21</v>
      </c>
      <c r="I5" t="s">
        <v>21</v>
      </c>
      <c r="J5" t="s">
        <v>25</v>
      </c>
      <c r="K5" t="s">
        <v>36</v>
      </c>
      <c r="L5" t="s">
        <v>37</v>
      </c>
      <c r="M5" t="s">
        <v>28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</row>
    <row r="6" spans="1:18">
      <c r="A6" t="s">
        <v>43</v>
      </c>
      <c r="B6" t="s">
        <v>44</v>
      </c>
      <c r="C6">
        <v>4.8</v>
      </c>
      <c r="D6">
        <v>-393</v>
      </c>
      <c r="E6" t="s">
        <v>18</v>
      </c>
      <c r="F6" t="s">
        <v>22</v>
      </c>
      <c r="G6" t="s">
        <v>23</v>
      </c>
      <c r="H6" t="s">
        <v>21</v>
      </c>
      <c r="I6" t="s">
        <v>45</v>
      </c>
      <c r="J6" t="s">
        <v>25</v>
      </c>
      <c r="K6" t="s">
        <v>36</v>
      </c>
      <c r="L6" t="s">
        <v>46</v>
      </c>
      <c r="M6" t="s">
        <v>28</v>
      </c>
      <c r="N6" t="s">
        <v>47</v>
      </c>
      <c r="O6" t="s">
        <v>48</v>
      </c>
      <c r="P6" t="s">
        <v>49</v>
      </c>
      <c r="Q6" t="s">
        <v>18</v>
      </c>
      <c r="R6" t="s">
        <v>18</v>
      </c>
    </row>
    <row r="7" spans="1:18">
      <c r="A7" t="s">
        <v>50</v>
      </c>
      <c r="B7" t="s">
        <v>51</v>
      </c>
      <c r="C7">
        <v>4.8</v>
      </c>
      <c r="D7">
        <v>-2220</v>
      </c>
      <c r="E7" t="s">
        <v>18</v>
      </c>
      <c r="F7" t="s">
        <v>34</v>
      </c>
      <c r="G7" t="s">
        <v>23</v>
      </c>
      <c r="H7" t="s">
        <v>21</v>
      </c>
      <c r="I7" t="s">
        <v>21</v>
      </c>
      <c r="J7" t="s">
        <v>25</v>
      </c>
      <c r="K7" t="s">
        <v>52</v>
      </c>
      <c r="L7" t="s">
        <v>53</v>
      </c>
      <c r="M7" t="s">
        <v>28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</row>
    <row r="8" spans="1:18">
      <c r="A8" t="s">
        <v>59</v>
      </c>
      <c r="B8" t="s">
        <v>51</v>
      </c>
      <c r="C8">
        <v>4.8</v>
      </c>
      <c r="D8">
        <v>-1365</v>
      </c>
      <c r="E8" t="s">
        <v>18</v>
      </c>
      <c r="F8" t="s">
        <v>34</v>
      </c>
      <c r="G8" t="s">
        <v>23</v>
      </c>
      <c r="H8" t="s">
        <v>21</v>
      </c>
      <c r="I8" t="s">
        <v>60</v>
      </c>
      <c r="J8" t="s">
        <v>25</v>
      </c>
      <c r="K8" t="s">
        <v>52</v>
      </c>
      <c r="L8" t="s">
        <v>61</v>
      </c>
      <c r="M8" t="s">
        <v>28</v>
      </c>
      <c r="N8" t="s">
        <v>62</v>
      </c>
      <c r="O8" t="s">
        <v>30</v>
      </c>
      <c r="P8" t="s">
        <v>63</v>
      </c>
      <c r="Q8" t="s">
        <v>18</v>
      </c>
      <c r="R8" t="s">
        <v>18</v>
      </c>
    </row>
    <row r="9" spans="1:18">
      <c r="A9" t="s">
        <v>64</v>
      </c>
      <c r="B9" t="s">
        <v>65</v>
      </c>
      <c r="C9">
        <v>4.9000000000000004</v>
      </c>
      <c r="D9">
        <v>-1857</v>
      </c>
      <c r="E9" t="s">
        <v>21</v>
      </c>
      <c r="F9" t="s">
        <v>22</v>
      </c>
      <c r="G9" t="s">
        <v>23</v>
      </c>
      <c r="H9" t="s">
        <v>21</v>
      </c>
      <c r="I9" t="s">
        <v>66</v>
      </c>
      <c r="J9" t="s">
        <v>25</v>
      </c>
      <c r="K9" t="s">
        <v>52</v>
      </c>
      <c r="L9" t="s">
        <v>67</v>
      </c>
      <c r="M9" t="s">
        <v>28</v>
      </c>
      <c r="N9" t="s">
        <v>68</v>
      </c>
      <c r="O9" t="s">
        <v>69</v>
      </c>
      <c r="P9" t="s">
        <v>70</v>
      </c>
      <c r="Q9" t="s">
        <v>18</v>
      </c>
      <c r="R9" t="s">
        <v>18</v>
      </c>
    </row>
    <row r="10" spans="1:18">
      <c r="A10" t="s">
        <v>71</v>
      </c>
      <c r="B10" t="s">
        <v>72</v>
      </c>
      <c r="C10">
        <v>4.7</v>
      </c>
      <c r="D10">
        <v>-910</v>
      </c>
      <c r="E10" t="s">
        <v>21</v>
      </c>
      <c r="F10" t="s">
        <v>34</v>
      </c>
      <c r="G10" t="s">
        <v>35</v>
      </c>
      <c r="H10" t="s">
        <v>21</v>
      </c>
      <c r="I10" t="s">
        <v>73</v>
      </c>
      <c r="J10" t="s">
        <v>25</v>
      </c>
      <c r="K10" t="s">
        <v>74</v>
      </c>
      <c r="L10" t="s">
        <v>75</v>
      </c>
      <c r="M10" t="s">
        <v>28</v>
      </c>
      <c r="N10" t="s">
        <v>76</v>
      </c>
      <c r="O10" t="s">
        <v>77</v>
      </c>
      <c r="P10" t="s">
        <v>78</v>
      </c>
      <c r="Q10" t="s">
        <v>18</v>
      </c>
      <c r="R10" t="s">
        <v>18</v>
      </c>
    </row>
    <row r="11" spans="1:18">
      <c r="A11" t="s">
        <v>79</v>
      </c>
      <c r="B11" t="s">
        <v>80</v>
      </c>
      <c r="C11">
        <v>4.9000000000000004</v>
      </c>
      <c r="D11">
        <v>-2355</v>
      </c>
      <c r="E11" t="s">
        <v>21</v>
      </c>
      <c r="F11" t="s">
        <v>22</v>
      </c>
      <c r="G11" t="s">
        <v>35</v>
      </c>
      <c r="H11" t="s">
        <v>21</v>
      </c>
      <c r="I11" t="s">
        <v>21</v>
      </c>
      <c r="J11" t="s">
        <v>25</v>
      </c>
      <c r="K11" t="s">
        <v>81</v>
      </c>
      <c r="L11" t="s">
        <v>82</v>
      </c>
      <c r="M11" t="s">
        <v>28</v>
      </c>
      <c r="N11" t="s">
        <v>83</v>
      </c>
      <c r="O11" t="s">
        <v>77</v>
      </c>
      <c r="P11" t="s">
        <v>78</v>
      </c>
      <c r="Q11" t="s">
        <v>41</v>
      </c>
      <c r="R11" t="s">
        <v>84</v>
      </c>
    </row>
    <row r="12" spans="1:18">
      <c r="A12" t="s">
        <v>85</v>
      </c>
      <c r="B12" t="s">
        <v>86</v>
      </c>
      <c r="C12">
        <v>4.9000000000000004</v>
      </c>
      <c r="D12">
        <v>-1407</v>
      </c>
      <c r="E12" t="s">
        <v>21</v>
      </c>
      <c r="F12" t="s">
        <v>22</v>
      </c>
      <c r="G12" t="s">
        <v>87</v>
      </c>
      <c r="H12" t="s">
        <v>21</v>
      </c>
      <c r="I12" t="s">
        <v>88</v>
      </c>
      <c r="J12" t="s">
        <v>25</v>
      </c>
      <c r="K12" t="s">
        <v>74</v>
      </c>
      <c r="L12" t="s">
        <v>89</v>
      </c>
      <c r="M12" t="s">
        <v>28</v>
      </c>
      <c r="N12" t="s">
        <v>90</v>
      </c>
      <c r="O12" t="s">
        <v>30</v>
      </c>
      <c r="P12" t="s">
        <v>91</v>
      </c>
      <c r="Q12" t="s">
        <v>18</v>
      </c>
      <c r="R12" t="s">
        <v>18</v>
      </c>
    </row>
    <row r="13" spans="1:18">
      <c r="A13" t="s">
        <v>92</v>
      </c>
      <c r="B13" t="s">
        <v>93</v>
      </c>
      <c r="C13">
        <v>4.7</v>
      </c>
      <c r="D13">
        <v>-344</v>
      </c>
      <c r="E13" t="s">
        <v>21</v>
      </c>
      <c r="F13" t="s">
        <v>22</v>
      </c>
      <c r="G13" t="s">
        <v>35</v>
      </c>
      <c r="H13" t="s">
        <v>21</v>
      </c>
      <c r="I13" t="s">
        <v>21</v>
      </c>
      <c r="J13" t="s">
        <v>94</v>
      </c>
      <c r="K13" t="s">
        <v>95</v>
      </c>
      <c r="L13" t="s">
        <v>96</v>
      </c>
      <c r="M13" t="s">
        <v>28</v>
      </c>
      <c r="N13" t="s">
        <v>97</v>
      </c>
      <c r="O13" t="s">
        <v>77</v>
      </c>
      <c r="P13" t="s">
        <v>98</v>
      </c>
      <c r="Q13" t="s">
        <v>57</v>
      </c>
      <c r="R13" t="s">
        <v>99</v>
      </c>
    </row>
    <row r="14" spans="1:18">
      <c r="A14" t="s">
        <v>100</v>
      </c>
      <c r="B14" t="s">
        <v>101</v>
      </c>
      <c r="C14">
        <v>4.8</v>
      </c>
      <c r="D14">
        <v>-333</v>
      </c>
      <c r="E14" t="s">
        <v>21</v>
      </c>
      <c r="F14" t="s">
        <v>22</v>
      </c>
      <c r="G14" t="s">
        <v>102</v>
      </c>
      <c r="H14" t="s">
        <v>21</v>
      </c>
      <c r="I14" t="s">
        <v>103</v>
      </c>
      <c r="J14" t="s">
        <v>25</v>
      </c>
      <c r="K14" t="s">
        <v>36</v>
      </c>
      <c r="L14" t="s">
        <v>104</v>
      </c>
      <c r="M14" t="s">
        <v>28</v>
      </c>
      <c r="N14" t="s">
        <v>105</v>
      </c>
      <c r="O14" t="s">
        <v>30</v>
      </c>
      <c r="P14" t="s">
        <v>106</v>
      </c>
      <c r="Q14" t="s">
        <v>18</v>
      </c>
      <c r="R14" t="s">
        <v>18</v>
      </c>
    </row>
    <row r="15" spans="1:18">
      <c r="A15" t="s">
        <v>107</v>
      </c>
      <c r="B15" t="s">
        <v>108</v>
      </c>
      <c r="C15">
        <v>4.9000000000000004</v>
      </c>
      <c r="D15">
        <v>-1025</v>
      </c>
      <c r="E15" t="s">
        <v>21</v>
      </c>
      <c r="F15" t="s">
        <v>22</v>
      </c>
      <c r="G15" t="s">
        <v>23</v>
      </c>
      <c r="H15" t="s">
        <v>21</v>
      </c>
      <c r="I15" t="s">
        <v>109</v>
      </c>
      <c r="J15" t="s">
        <v>25</v>
      </c>
      <c r="K15" t="s">
        <v>52</v>
      </c>
      <c r="L15" t="s">
        <v>110</v>
      </c>
      <c r="M15" t="s">
        <v>28</v>
      </c>
      <c r="N15" t="s">
        <v>111</v>
      </c>
      <c r="O15" t="s">
        <v>48</v>
      </c>
      <c r="P15" t="s">
        <v>112</v>
      </c>
      <c r="Q15" t="s">
        <v>18</v>
      </c>
      <c r="R15" t="s">
        <v>18</v>
      </c>
    </row>
    <row r="16" spans="1:18">
      <c r="A16" t="s">
        <v>113</v>
      </c>
      <c r="B16" t="s">
        <v>114</v>
      </c>
      <c r="C16">
        <v>4.8</v>
      </c>
      <c r="D16">
        <v>-634</v>
      </c>
      <c r="E16" t="s">
        <v>18</v>
      </c>
      <c r="F16" t="s">
        <v>34</v>
      </c>
      <c r="G16" t="s">
        <v>35</v>
      </c>
      <c r="H16" t="s">
        <v>21</v>
      </c>
      <c r="I16" t="s">
        <v>115</v>
      </c>
      <c r="J16" t="s">
        <v>25</v>
      </c>
      <c r="K16" t="s">
        <v>26</v>
      </c>
      <c r="L16" t="s">
        <v>116</v>
      </c>
      <c r="M16" t="s">
        <v>28</v>
      </c>
      <c r="N16" t="s">
        <v>117</v>
      </c>
      <c r="O16" t="s">
        <v>18</v>
      </c>
      <c r="P16" t="s">
        <v>18</v>
      </c>
      <c r="Q16" t="s">
        <v>18</v>
      </c>
      <c r="R16" t="s">
        <v>18</v>
      </c>
    </row>
    <row r="17" spans="1:18">
      <c r="A17" t="s">
        <v>118</v>
      </c>
      <c r="B17" t="s">
        <v>119</v>
      </c>
      <c r="C17">
        <v>4.8</v>
      </c>
      <c r="D17">
        <v>-314</v>
      </c>
      <c r="E17" t="s">
        <v>18</v>
      </c>
      <c r="F17" t="s">
        <v>34</v>
      </c>
      <c r="G17" t="s">
        <v>23</v>
      </c>
      <c r="H17" t="s">
        <v>21</v>
      </c>
      <c r="I17" t="s">
        <v>120</v>
      </c>
      <c r="J17" t="s">
        <v>25</v>
      </c>
      <c r="K17" t="s">
        <v>52</v>
      </c>
      <c r="L17" t="s">
        <v>121</v>
      </c>
      <c r="M17" t="s">
        <v>28</v>
      </c>
      <c r="N17" t="s">
        <v>122</v>
      </c>
      <c r="O17" t="s">
        <v>39</v>
      </c>
      <c r="P17" t="s">
        <v>123</v>
      </c>
      <c r="Q17" t="s">
        <v>18</v>
      </c>
      <c r="R17" t="s">
        <v>18</v>
      </c>
    </row>
    <row r="18" spans="1:18">
      <c r="A18" t="s">
        <v>124</v>
      </c>
      <c r="B18" t="s">
        <v>125</v>
      </c>
      <c r="C18">
        <v>4.5999999999999996</v>
      </c>
      <c r="D18">
        <v>-356</v>
      </c>
      <c r="E18" t="s">
        <v>21</v>
      </c>
      <c r="F18" t="s">
        <v>126</v>
      </c>
      <c r="G18" t="s">
        <v>127</v>
      </c>
      <c r="H18" t="s">
        <v>21</v>
      </c>
      <c r="I18" t="s">
        <v>21</v>
      </c>
      <c r="J18" t="s">
        <v>25</v>
      </c>
      <c r="K18" t="s">
        <v>128</v>
      </c>
      <c r="L18" t="s">
        <v>129</v>
      </c>
      <c r="M18" t="s">
        <v>28</v>
      </c>
      <c r="N18" t="s">
        <v>130</v>
      </c>
      <c r="O18" t="s">
        <v>39</v>
      </c>
      <c r="P18" t="s">
        <v>131</v>
      </c>
      <c r="Q18" t="s">
        <v>41</v>
      </c>
      <c r="R18" t="s">
        <v>132</v>
      </c>
    </row>
    <row r="19" spans="1:18">
      <c r="A19" t="s">
        <v>133</v>
      </c>
      <c r="B19" t="s">
        <v>134</v>
      </c>
      <c r="C19">
        <v>4.8</v>
      </c>
      <c r="D19">
        <v>-626</v>
      </c>
      <c r="E19" t="s">
        <v>21</v>
      </c>
      <c r="F19" t="s">
        <v>34</v>
      </c>
      <c r="G19" t="s">
        <v>35</v>
      </c>
      <c r="H19" t="s">
        <v>21</v>
      </c>
      <c r="I19" t="s">
        <v>21</v>
      </c>
      <c r="J19" t="s">
        <v>25</v>
      </c>
      <c r="K19" t="s">
        <v>135</v>
      </c>
      <c r="L19" t="s">
        <v>136</v>
      </c>
      <c r="M19" t="s">
        <v>28</v>
      </c>
      <c r="N19" t="s">
        <v>137</v>
      </c>
      <c r="O19" t="s">
        <v>39</v>
      </c>
      <c r="P19" t="s">
        <v>138</v>
      </c>
      <c r="Q19" t="s">
        <v>57</v>
      </c>
      <c r="R19" t="s">
        <v>139</v>
      </c>
    </row>
    <row r="20" spans="1:18">
      <c r="A20" t="s">
        <v>140</v>
      </c>
      <c r="B20" t="s">
        <v>141</v>
      </c>
      <c r="C20">
        <v>4.9000000000000004</v>
      </c>
      <c r="D20">
        <v>-420</v>
      </c>
      <c r="E20" t="s">
        <v>18</v>
      </c>
      <c r="F20" t="s">
        <v>22</v>
      </c>
      <c r="G20" t="s">
        <v>142</v>
      </c>
      <c r="H20" t="s">
        <v>21</v>
      </c>
      <c r="I20" t="s">
        <v>143</v>
      </c>
      <c r="J20" t="s">
        <v>25</v>
      </c>
      <c r="K20" t="s">
        <v>52</v>
      </c>
      <c r="L20" t="s">
        <v>144</v>
      </c>
      <c r="M20" t="s">
        <v>28</v>
      </c>
      <c r="N20" t="s">
        <v>105</v>
      </c>
      <c r="O20" t="s">
        <v>30</v>
      </c>
      <c r="P20" t="s">
        <v>145</v>
      </c>
      <c r="Q20" t="s">
        <v>18</v>
      </c>
      <c r="R20" t="s">
        <v>18</v>
      </c>
    </row>
    <row r="21" spans="1:18">
      <c r="A21" t="s">
        <v>146</v>
      </c>
      <c r="B21" t="s">
        <v>147</v>
      </c>
      <c r="C21">
        <v>4.9000000000000004</v>
      </c>
      <c r="D21">
        <v>-3208</v>
      </c>
      <c r="E21" t="s">
        <v>21</v>
      </c>
      <c r="F21" t="s">
        <v>22</v>
      </c>
      <c r="G21" t="s">
        <v>35</v>
      </c>
      <c r="H21" t="s">
        <v>21</v>
      </c>
      <c r="I21" t="s">
        <v>148</v>
      </c>
      <c r="J21" t="s">
        <v>25</v>
      </c>
      <c r="K21" t="s">
        <v>26</v>
      </c>
      <c r="L21" t="s">
        <v>149</v>
      </c>
      <c r="M21" t="s">
        <v>28</v>
      </c>
      <c r="N21" t="s">
        <v>105</v>
      </c>
      <c r="O21" t="s">
        <v>39</v>
      </c>
      <c r="P21" t="s">
        <v>150</v>
      </c>
      <c r="Q21" t="s">
        <v>18</v>
      </c>
      <c r="R21" t="s">
        <v>18</v>
      </c>
    </row>
    <row r="22" spans="1:18">
      <c r="A22" t="s">
        <v>151</v>
      </c>
      <c r="B22" t="s">
        <v>152</v>
      </c>
      <c r="C22">
        <v>4.7</v>
      </c>
      <c r="D22">
        <v>-1452</v>
      </c>
      <c r="E22" t="s">
        <v>21</v>
      </c>
      <c r="F22" t="s">
        <v>34</v>
      </c>
      <c r="G22" t="s">
        <v>35</v>
      </c>
      <c r="H22" t="s">
        <v>21</v>
      </c>
      <c r="I22" t="s">
        <v>21</v>
      </c>
      <c r="J22" t="s">
        <v>25</v>
      </c>
      <c r="K22" t="s">
        <v>26</v>
      </c>
      <c r="L22" t="s">
        <v>153</v>
      </c>
      <c r="M22" t="s">
        <v>28</v>
      </c>
      <c r="N22" t="s">
        <v>154</v>
      </c>
      <c r="O22" t="s">
        <v>30</v>
      </c>
      <c r="P22" t="s">
        <v>155</v>
      </c>
      <c r="Q22" t="s">
        <v>57</v>
      </c>
      <c r="R22" t="s">
        <v>156</v>
      </c>
    </row>
    <row r="23" spans="1:18">
      <c r="A23" t="s">
        <v>157</v>
      </c>
      <c r="B23" t="s">
        <v>158</v>
      </c>
      <c r="C23">
        <v>4.7</v>
      </c>
      <c r="D23">
        <v>-507</v>
      </c>
      <c r="E23" t="s">
        <v>21</v>
      </c>
      <c r="F23" t="s">
        <v>22</v>
      </c>
      <c r="G23" t="s">
        <v>35</v>
      </c>
      <c r="H23" t="s">
        <v>21</v>
      </c>
      <c r="I23" t="s">
        <v>21</v>
      </c>
      <c r="J23" t="s">
        <v>25</v>
      </c>
      <c r="K23" t="s">
        <v>36</v>
      </c>
      <c r="L23" t="s">
        <v>159</v>
      </c>
      <c r="M23" t="s">
        <v>28</v>
      </c>
      <c r="N23" t="s">
        <v>160</v>
      </c>
      <c r="O23" t="s">
        <v>30</v>
      </c>
      <c r="P23" t="s">
        <v>161</v>
      </c>
      <c r="Q23" t="s">
        <v>41</v>
      </c>
      <c r="R23" t="s">
        <v>162</v>
      </c>
    </row>
    <row r="24" spans="1:18">
      <c r="A24" t="s">
        <v>163</v>
      </c>
      <c r="B24" t="s">
        <v>164</v>
      </c>
      <c r="C24">
        <v>4.5999999999999996</v>
      </c>
      <c r="D24">
        <v>-4975</v>
      </c>
      <c r="E24" t="s">
        <v>21</v>
      </c>
      <c r="F24" t="s">
        <v>34</v>
      </c>
      <c r="G24" t="s">
        <v>23</v>
      </c>
      <c r="H24" t="s">
        <v>21</v>
      </c>
      <c r="I24" t="s">
        <v>21</v>
      </c>
      <c r="J24" t="s">
        <v>25</v>
      </c>
      <c r="K24" t="s">
        <v>166</v>
      </c>
      <c r="L24" t="s">
        <v>167</v>
      </c>
      <c r="M24" t="s">
        <v>28</v>
      </c>
      <c r="N24" t="s">
        <v>168</v>
      </c>
      <c r="O24" t="s">
        <v>77</v>
      </c>
      <c r="P24" t="s">
        <v>138</v>
      </c>
      <c r="Q24" t="s">
        <v>41</v>
      </c>
      <c r="R24" t="s">
        <v>169</v>
      </c>
    </row>
    <row r="25" spans="1:18">
      <c r="A25" t="s">
        <v>170</v>
      </c>
      <c r="B25" t="s">
        <v>171</v>
      </c>
      <c r="C25">
        <v>4.9000000000000004</v>
      </c>
      <c r="D25">
        <v>-10</v>
      </c>
      <c r="E25" t="s">
        <v>21</v>
      </c>
      <c r="F25" t="s">
        <v>126</v>
      </c>
      <c r="G25" t="s">
        <v>23</v>
      </c>
      <c r="H25" t="s">
        <v>21</v>
      </c>
      <c r="I25" t="s">
        <v>172</v>
      </c>
      <c r="J25" t="s">
        <v>18</v>
      </c>
      <c r="K25" t="s">
        <v>18</v>
      </c>
      <c r="L25" t="s">
        <v>173</v>
      </c>
      <c r="M25" t="s">
        <v>28</v>
      </c>
      <c r="N25" t="s">
        <v>174</v>
      </c>
      <c r="O25" t="s">
        <v>77</v>
      </c>
      <c r="P25" t="s">
        <v>175</v>
      </c>
      <c r="Q25" t="s">
        <v>18</v>
      </c>
      <c r="R25" t="s">
        <v>18</v>
      </c>
    </row>
    <row r="26" spans="1:18">
      <c r="A26" t="s">
        <v>176</v>
      </c>
      <c r="B26" t="s">
        <v>177</v>
      </c>
      <c r="C26">
        <v>4.7</v>
      </c>
      <c r="D26">
        <v>-2193</v>
      </c>
      <c r="E26" t="s">
        <v>21</v>
      </c>
      <c r="F26" t="s">
        <v>34</v>
      </c>
      <c r="G26" t="s">
        <v>35</v>
      </c>
      <c r="H26" t="s">
        <v>21</v>
      </c>
      <c r="I26" t="s">
        <v>21</v>
      </c>
      <c r="J26" t="s">
        <v>25</v>
      </c>
      <c r="K26" t="s">
        <v>36</v>
      </c>
      <c r="L26" t="s">
        <v>178</v>
      </c>
      <c r="M26" t="s">
        <v>28</v>
      </c>
      <c r="N26" t="s">
        <v>105</v>
      </c>
      <c r="O26" t="s">
        <v>48</v>
      </c>
      <c r="P26" t="s">
        <v>179</v>
      </c>
      <c r="Q26" t="s">
        <v>57</v>
      </c>
      <c r="R26" t="s">
        <v>180</v>
      </c>
    </row>
    <row r="27" spans="1:18">
      <c r="A27" t="s">
        <v>181</v>
      </c>
      <c r="B27" t="s">
        <v>182</v>
      </c>
      <c r="C27">
        <v>4.7</v>
      </c>
      <c r="D27">
        <v>-103</v>
      </c>
      <c r="E27" t="s">
        <v>21</v>
      </c>
      <c r="F27" t="s">
        <v>126</v>
      </c>
      <c r="G27" t="s">
        <v>35</v>
      </c>
      <c r="H27" t="s">
        <v>21</v>
      </c>
      <c r="I27" t="s">
        <v>183</v>
      </c>
      <c r="J27" t="s">
        <v>184</v>
      </c>
      <c r="K27" t="s">
        <v>185</v>
      </c>
      <c r="L27" t="s">
        <v>186</v>
      </c>
      <c r="M27" t="s">
        <v>28</v>
      </c>
      <c r="N27" t="s">
        <v>62</v>
      </c>
      <c r="O27" t="s">
        <v>77</v>
      </c>
      <c r="P27" t="s">
        <v>187</v>
      </c>
      <c r="Q27" t="s">
        <v>18</v>
      </c>
      <c r="R27" t="s">
        <v>18</v>
      </c>
    </row>
    <row r="28" spans="1:18">
      <c r="A28" t="s">
        <v>188</v>
      </c>
      <c r="B28" t="s">
        <v>189</v>
      </c>
      <c r="C28">
        <v>4.9000000000000004</v>
      </c>
      <c r="D28">
        <v>-611</v>
      </c>
      <c r="E28" t="s">
        <v>18</v>
      </c>
      <c r="F28" t="s">
        <v>34</v>
      </c>
      <c r="G28" t="s">
        <v>102</v>
      </c>
      <c r="H28" t="s">
        <v>21</v>
      </c>
      <c r="I28" t="s">
        <v>190</v>
      </c>
      <c r="J28" t="s">
        <v>25</v>
      </c>
      <c r="K28" t="s">
        <v>74</v>
      </c>
      <c r="L28" t="s">
        <v>191</v>
      </c>
      <c r="M28" t="s">
        <v>28</v>
      </c>
      <c r="N28" t="s">
        <v>192</v>
      </c>
      <c r="O28" t="s">
        <v>193</v>
      </c>
      <c r="P28" t="s">
        <v>194</v>
      </c>
      <c r="Q28" t="s">
        <v>18</v>
      </c>
      <c r="R28" t="s">
        <v>18</v>
      </c>
    </row>
    <row r="29" spans="1:18">
      <c r="A29" t="s">
        <v>195</v>
      </c>
      <c r="B29" t="s">
        <v>196</v>
      </c>
      <c r="C29">
        <v>4.9000000000000004</v>
      </c>
      <c r="D29">
        <v>-19105</v>
      </c>
      <c r="E29" t="s">
        <v>18</v>
      </c>
      <c r="F29" t="s">
        <v>22</v>
      </c>
      <c r="G29" t="s">
        <v>35</v>
      </c>
      <c r="H29" t="s">
        <v>21</v>
      </c>
      <c r="I29" t="s">
        <v>21</v>
      </c>
      <c r="J29" t="s">
        <v>25</v>
      </c>
      <c r="K29" t="s">
        <v>52</v>
      </c>
      <c r="L29" t="s">
        <v>197</v>
      </c>
      <c r="M29" t="s">
        <v>28</v>
      </c>
      <c r="N29" t="s">
        <v>105</v>
      </c>
      <c r="O29" t="s">
        <v>30</v>
      </c>
      <c r="P29" t="s">
        <v>198</v>
      </c>
      <c r="Q29" t="s">
        <v>57</v>
      </c>
      <c r="R29" t="s">
        <v>199</v>
      </c>
    </row>
    <row r="30" spans="1:18">
      <c r="A30" t="s">
        <v>200</v>
      </c>
      <c r="B30" t="s">
        <v>201</v>
      </c>
      <c r="C30">
        <v>4.5</v>
      </c>
      <c r="D30">
        <v>-1242</v>
      </c>
      <c r="E30" t="s">
        <v>21</v>
      </c>
      <c r="F30" t="s">
        <v>34</v>
      </c>
      <c r="G30" t="s">
        <v>23</v>
      </c>
      <c r="H30" t="s">
        <v>21</v>
      </c>
      <c r="I30" t="s">
        <v>21</v>
      </c>
      <c r="J30" t="s">
        <v>25</v>
      </c>
      <c r="K30" t="s">
        <v>52</v>
      </c>
      <c r="L30" t="s">
        <v>202</v>
      </c>
      <c r="M30" t="s">
        <v>28</v>
      </c>
      <c r="N30" t="s">
        <v>203</v>
      </c>
      <c r="O30" t="s">
        <v>30</v>
      </c>
      <c r="P30" t="s">
        <v>155</v>
      </c>
      <c r="Q30" t="s">
        <v>41</v>
      </c>
      <c r="R30" t="s">
        <v>204</v>
      </c>
    </row>
    <row r="31" spans="1:18">
      <c r="A31" t="s">
        <v>205</v>
      </c>
      <c r="B31" t="s">
        <v>206</v>
      </c>
      <c r="C31">
        <v>4.5</v>
      </c>
      <c r="D31">
        <v>-23</v>
      </c>
      <c r="E31" t="s">
        <v>21</v>
      </c>
      <c r="F31" t="s">
        <v>126</v>
      </c>
      <c r="G31" t="s">
        <v>102</v>
      </c>
      <c r="H31" t="s">
        <v>21</v>
      </c>
      <c r="I31" t="s">
        <v>207</v>
      </c>
      <c r="J31" t="s">
        <v>184</v>
      </c>
      <c r="K31" t="s">
        <v>185</v>
      </c>
      <c r="L31" t="s">
        <v>208</v>
      </c>
      <c r="M31" t="s">
        <v>28</v>
      </c>
      <c r="N31" t="s">
        <v>209</v>
      </c>
      <c r="O31" t="s">
        <v>77</v>
      </c>
      <c r="P31" t="s">
        <v>210</v>
      </c>
      <c r="Q31" t="s">
        <v>18</v>
      </c>
      <c r="R31" t="s">
        <v>18</v>
      </c>
    </row>
    <row r="32" spans="1:18">
      <c r="A32" t="s">
        <v>211</v>
      </c>
      <c r="B32" t="s">
        <v>212</v>
      </c>
      <c r="C32">
        <v>4.4000000000000004</v>
      </c>
      <c r="D32">
        <v>-1178</v>
      </c>
      <c r="E32" t="s">
        <v>21</v>
      </c>
      <c r="F32" t="s">
        <v>22</v>
      </c>
      <c r="G32" t="s">
        <v>23</v>
      </c>
      <c r="H32" t="s">
        <v>21</v>
      </c>
      <c r="I32" t="s">
        <v>21</v>
      </c>
      <c r="J32" t="s">
        <v>94</v>
      </c>
      <c r="K32" t="s">
        <v>213</v>
      </c>
      <c r="L32" t="s">
        <v>214</v>
      </c>
      <c r="M32" t="s">
        <v>28</v>
      </c>
      <c r="N32" t="s">
        <v>130</v>
      </c>
      <c r="O32" t="s">
        <v>30</v>
      </c>
      <c r="P32" t="s">
        <v>215</v>
      </c>
      <c r="Q32" t="s">
        <v>41</v>
      </c>
      <c r="R32" t="s">
        <v>216</v>
      </c>
    </row>
    <row r="33" spans="1:18">
      <c r="A33" t="s">
        <v>217</v>
      </c>
      <c r="B33" t="s">
        <v>218</v>
      </c>
      <c r="C33">
        <v>4.9000000000000004</v>
      </c>
      <c r="D33">
        <v>-1419</v>
      </c>
      <c r="E33" t="s">
        <v>21</v>
      </c>
      <c r="F33" t="s">
        <v>22</v>
      </c>
      <c r="G33" t="s">
        <v>35</v>
      </c>
      <c r="H33" t="s">
        <v>21</v>
      </c>
      <c r="I33" t="s">
        <v>219</v>
      </c>
      <c r="J33" t="s">
        <v>25</v>
      </c>
      <c r="K33" t="s">
        <v>128</v>
      </c>
      <c r="L33" t="s">
        <v>220</v>
      </c>
      <c r="M33" t="s">
        <v>28</v>
      </c>
      <c r="N33" t="s">
        <v>105</v>
      </c>
      <c r="O33" t="s">
        <v>30</v>
      </c>
      <c r="P33" t="s">
        <v>221</v>
      </c>
      <c r="Q33" t="s">
        <v>18</v>
      </c>
      <c r="R33" t="s">
        <v>18</v>
      </c>
    </row>
    <row r="34" spans="1:18">
      <c r="A34" t="s">
        <v>222</v>
      </c>
      <c r="B34" t="s">
        <v>223</v>
      </c>
      <c r="C34">
        <v>4.3</v>
      </c>
      <c r="D34">
        <v>-489</v>
      </c>
      <c r="E34" t="s">
        <v>21</v>
      </c>
      <c r="F34" t="s">
        <v>22</v>
      </c>
      <c r="G34" t="s">
        <v>23</v>
      </c>
      <c r="H34" t="s">
        <v>21</v>
      </c>
      <c r="I34" t="s">
        <v>21</v>
      </c>
      <c r="J34" t="s">
        <v>25</v>
      </c>
      <c r="K34" t="s">
        <v>224</v>
      </c>
      <c r="L34" t="s">
        <v>225</v>
      </c>
      <c r="M34" t="s">
        <v>28</v>
      </c>
      <c r="N34" t="s">
        <v>105</v>
      </c>
      <c r="O34" t="s">
        <v>48</v>
      </c>
      <c r="P34" t="s">
        <v>226</v>
      </c>
      <c r="Q34" t="s">
        <v>41</v>
      </c>
      <c r="R34" t="s">
        <v>227</v>
      </c>
    </row>
    <row r="35" spans="1:18">
      <c r="A35" t="s">
        <v>228</v>
      </c>
      <c r="B35" t="s">
        <v>229</v>
      </c>
      <c r="C35">
        <v>4.8</v>
      </c>
      <c r="D35">
        <v>-2179</v>
      </c>
      <c r="E35" t="s">
        <v>18</v>
      </c>
      <c r="F35" t="s">
        <v>22</v>
      </c>
      <c r="G35" t="s">
        <v>23</v>
      </c>
      <c r="H35" t="s">
        <v>21</v>
      </c>
      <c r="I35" t="s">
        <v>21</v>
      </c>
      <c r="J35" t="s">
        <v>25</v>
      </c>
      <c r="K35" t="s">
        <v>52</v>
      </c>
      <c r="L35" t="s">
        <v>230</v>
      </c>
      <c r="M35" t="s">
        <v>28</v>
      </c>
      <c r="N35" t="s">
        <v>130</v>
      </c>
      <c r="O35" t="s">
        <v>39</v>
      </c>
      <c r="P35" t="s">
        <v>231</v>
      </c>
      <c r="Q35" t="s">
        <v>57</v>
      </c>
      <c r="R35" t="s">
        <v>232</v>
      </c>
    </row>
    <row r="36" spans="1:18">
      <c r="A36" t="s">
        <v>233</v>
      </c>
      <c r="B36" t="s">
        <v>234</v>
      </c>
      <c r="C36">
        <v>4.9000000000000004</v>
      </c>
      <c r="D36">
        <v>-186</v>
      </c>
      <c r="E36" t="s">
        <v>21</v>
      </c>
      <c r="F36" t="s">
        <v>126</v>
      </c>
      <c r="G36" t="s">
        <v>23</v>
      </c>
      <c r="H36" t="s">
        <v>21</v>
      </c>
      <c r="I36" t="s">
        <v>235</v>
      </c>
      <c r="J36" t="s">
        <v>184</v>
      </c>
      <c r="K36" t="s">
        <v>236</v>
      </c>
      <c r="L36" t="s">
        <v>237</v>
      </c>
      <c r="M36" t="s">
        <v>28</v>
      </c>
      <c r="N36" t="s">
        <v>238</v>
      </c>
      <c r="O36" t="s">
        <v>30</v>
      </c>
      <c r="P36" t="s">
        <v>239</v>
      </c>
      <c r="Q36" t="s">
        <v>18</v>
      </c>
      <c r="R36" t="s">
        <v>18</v>
      </c>
    </row>
    <row r="37" spans="1:18">
      <c r="A37" t="s">
        <v>240</v>
      </c>
      <c r="B37" t="s">
        <v>241</v>
      </c>
      <c r="C37">
        <v>4.9000000000000004</v>
      </c>
      <c r="D37">
        <v>-1572</v>
      </c>
      <c r="E37" t="s">
        <v>21</v>
      </c>
      <c r="F37" s="18" t="s">
        <v>22</v>
      </c>
      <c r="G37" t="s">
        <v>35</v>
      </c>
      <c r="H37" t="s">
        <v>21</v>
      </c>
      <c r="I37" t="s">
        <v>242</v>
      </c>
      <c r="J37" t="s">
        <v>184</v>
      </c>
      <c r="K37" t="s">
        <v>243</v>
      </c>
      <c r="L37" t="s">
        <v>244</v>
      </c>
      <c r="M37" t="s">
        <v>28</v>
      </c>
      <c r="N37" t="s">
        <v>245</v>
      </c>
      <c r="O37" t="s">
        <v>30</v>
      </c>
      <c r="P37" t="s">
        <v>246</v>
      </c>
      <c r="Q37" t="s">
        <v>18</v>
      </c>
      <c r="R37" t="s">
        <v>18</v>
      </c>
    </row>
    <row r="38" spans="1:18">
      <c r="A38" t="s">
        <v>247</v>
      </c>
      <c r="B38" t="s">
        <v>248</v>
      </c>
      <c r="C38">
        <v>4.7</v>
      </c>
      <c r="D38">
        <v>-126</v>
      </c>
      <c r="E38" t="s">
        <v>21</v>
      </c>
      <c r="F38" t="s">
        <v>22</v>
      </c>
      <c r="G38" t="s">
        <v>35</v>
      </c>
      <c r="H38" t="s">
        <v>21</v>
      </c>
      <c r="I38" t="s">
        <v>249</v>
      </c>
      <c r="J38" t="s">
        <v>25</v>
      </c>
      <c r="K38" t="s">
        <v>26</v>
      </c>
      <c r="L38" t="s">
        <v>250</v>
      </c>
      <c r="M38" t="s">
        <v>28</v>
      </c>
      <c r="N38" t="s">
        <v>251</v>
      </c>
      <c r="O38" t="s">
        <v>35</v>
      </c>
      <c r="P38" t="s">
        <v>252</v>
      </c>
      <c r="Q38" t="s">
        <v>18</v>
      </c>
      <c r="R38" t="s">
        <v>18</v>
      </c>
    </row>
    <row r="39" spans="1:18">
      <c r="A39" t="s">
        <v>253</v>
      </c>
      <c r="B39" t="s">
        <v>254</v>
      </c>
      <c r="C39">
        <v>4.9000000000000004</v>
      </c>
      <c r="D39">
        <v>-2810</v>
      </c>
      <c r="E39" t="s">
        <v>18</v>
      </c>
      <c r="F39" t="s">
        <v>34</v>
      </c>
      <c r="G39" t="s">
        <v>255</v>
      </c>
      <c r="H39" t="s">
        <v>21</v>
      </c>
      <c r="I39" t="s">
        <v>256</v>
      </c>
      <c r="J39" t="s">
        <v>25</v>
      </c>
      <c r="K39" t="s">
        <v>74</v>
      </c>
      <c r="L39" t="s">
        <v>257</v>
      </c>
      <c r="M39" t="s">
        <v>28</v>
      </c>
      <c r="N39" t="s">
        <v>258</v>
      </c>
      <c r="O39" t="s">
        <v>77</v>
      </c>
      <c r="P39" t="s">
        <v>259</v>
      </c>
      <c r="Q39" t="s">
        <v>18</v>
      </c>
      <c r="R39" t="s">
        <v>18</v>
      </c>
    </row>
    <row r="40" spans="1:18">
      <c r="A40" t="s">
        <v>260</v>
      </c>
      <c r="B40" t="s">
        <v>261</v>
      </c>
      <c r="C40">
        <v>4.3</v>
      </c>
      <c r="D40">
        <v>-488</v>
      </c>
      <c r="E40" t="s">
        <v>21</v>
      </c>
      <c r="F40" t="s">
        <v>126</v>
      </c>
      <c r="G40" t="s">
        <v>35</v>
      </c>
      <c r="H40" t="s">
        <v>21</v>
      </c>
      <c r="I40" t="s">
        <v>21</v>
      </c>
      <c r="J40" t="s">
        <v>184</v>
      </c>
      <c r="K40" t="s">
        <v>262</v>
      </c>
      <c r="L40" t="s">
        <v>263</v>
      </c>
      <c r="M40" t="s">
        <v>28</v>
      </c>
      <c r="N40" t="s">
        <v>264</v>
      </c>
      <c r="O40" t="s">
        <v>77</v>
      </c>
      <c r="P40" t="s">
        <v>265</v>
      </c>
      <c r="Q40" t="s">
        <v>41</v>
      </c>
      <c r="R40" t="s">
        <v>266</v>
      </c>
    </row>
    <row r="41" spans="1:18">
      <c r="A41" t="s">
        <v>267</v>
      </c>
      <c r="B41" t="s">
        <v>268</v>
      </c>
      <c r="C41">
        <v>4.8</v>
      </c>
      <c r="D41">
        <v>-95</v>
      </c>
      <c r="E41" t="s">
        <v>21</v>
      </c>
      <c r="F41" t="s">
        <v>126</v>
      </c>
      <c r="G41" t="s">
        <v>102</v>
      </c>
      <c r="H41" t="s">
        <v>21</v>
      </c>
      <c r="I41" t="s">
        <v>269</v>
      </c>
      <c r="J41" t="s">
        <v>25</v>
      </c>
      <c r="K41" t="s">
        <v>52</v>
      </c>
      <c r="L41" t="s">
        <v>270</v>
      </c>
      <c r="M41" t="s">
        <v>28</v>
      </c>
      <c r="N41" t="s">
        <v>271</v>
      </c>
      <c r="O41" t="s">
        <v>48</v>
      </c>
      <c r="P41" t="s">
        <v>272</v>
      </c>
      <c r="Q41" t="s">
        <v>18</v>
      </c>
      <c r="R41" t="s">
        <v>18</v>
      </c>
    </row>
    <row r="42" spans="1:18">
      <c r="A42" t="s">
        <v>273</v>
      </c>
      <c r="B42" t="s">
        <v>274</v>
      </c>
      <c r="C42">
        <v>4.5999999999999996</v>
      </c>
      <c r="D42">
        <v>-761</v>
      </c>
      <c r="E42" t="s">
        <v>21</v>
      </c>
      <c r="F42" t="s">
        <v>126</v>
      </c>
      <c r="G42" t="s">
        <v>35</v>
      </c>
      <c r="H42" t="s">
        <v>21</v>
      </c>
      <c r="I42" t="s">
        <v>21</v>
      </c>
      <c r="J42" t="s">
        <v>25</v>
      </c>
      <c r="K42" t="s">
        <v>275</v>
      </c>
      <c r="L42" t="s">
        <v>276</v>
      </c>
      <c r="M42" t="s">
        <v>28</v>
      </c>
      <c r="N42" t="s">
        <v>277</v>
      </c>
      <c r="O42" t="s">
        <v>18</v>
      </c>
      <c r="P42" t="s">
        <v>18</v>
      </c>
      <c r="Q42" t="s">
        <v>41</v>
      </c>
      <c r="R42" t="s">
        <v>278</v>
      </c>
    </row>
    <row r="43" spans="1:18">
      <c r="A43" t="s">
        <v>279</v>
      </c>
      <c r="B43" t="s">
        <v>280</v>
      </c>
      <c r="C43">
        <v>4.5999999999999996</v>
      </c>
      <c r="D43">
        <v>-160</v>
      </c>
      <c r="E43" t="s">
        <v>21</v>
      </c>
      <c r="F43" t="s">
        <v>34</v>
      </c>
      <c r="G43" t="s">
        <v>35</v>
      </c>
      <c r="H43" t="s">
        <v>21</v>
      </c>
      <c r="I43" t="s">
        <v>281</v>
      </c>
      <c r="J43" t="s">
        <v>25</v>
      </c>
      <c r="K43" t="s">
        <v>135</v>
      </c>
      <c r="L43" t="s">
        <v>282</v>
      </c>
      <c r="M43" t="s">
        <v>28</v>
      </c>
      <c r="N43" t="s">
        <v>283</v>
      </c>
      <c r="O43" t="s">
        <v>39</v>
      </c>
      <c r="P43" t="s">
        <v>284</v>
      </c>
      <c r="Q43" t="s">
        <v>18</v>
      </c>
      <c r="R43" t="s">
        <v>18</v>
      </c>
    </row>
    <row r="44" spans="1:18">
      <c r="A44" t="s">
        <v>285</v>
      </c>
      <c r="B44" t="s">
        <v>286</v>
      </c>
      <c r="C44">
        <v>4.2</v>
      </c>
      <c r="D44">
        <v>-433</v>
      </c>
      <c r="E44" t="s">
        <v>21</v>
      </c>
      <c r="F44" t="s">
        <v>126</v>
      </c>
      <c r="G44" t="s">
        <v>23</v>
      </c>
      <c r="H44" t="s">
        <v>21</v>
      </c>
      <c r="I44" t="s">
        <v>21</v>
      </c>
      <c r="J44" t="s">
        <v>184</v>
      </c>
      <c r="K44" t="s">
        <v>236</v>
      </c>
      <c r="L44" t="s">
        <v>287</v>
      </c>
      <c r="M44" t="s">
        <v>28</v>
      </c>
      <c r="N44" t="s">
        <v>288</v>
      </c>
      <c r="O44" t="s">
        <v>77</v>
      </c>
      <c r="P44" t="s">
        <v>155</v>
      </c>
      <c r="Q44" t="s">
        <v>41</v>
      </c>
      <c r="R44" t="s">
        <v>289</v>
      </c>
    </row>
    <row r="45" spans="1:18">
      <c r="A45" t="s">
        <v>247</v>
      </c>
      <c r="B45" t="s">
        <v>248</v>
      </c>
      <c r="C45">
        <v>4.7</v>
      </c>
      <c r="D45">
        <v>-126</v>
      </c>
      <c r="E45" t="s">
        <v>21</v>
      </c>
      <c r="F45" t="s">
        <v>22</v>
      </c>
      <c r="G45" t="s">
        <v>35</v>
      </c>
      <c r="H45" t="s">
        <v>21</v>
      </c>
      <c r="I45" t="s">
        <v>249</v>
      </c>
      <c r="J45" t="s">
        <v>25</v>
      </c>
      <c r="K45" t="s">
        <v>26</v>
      </c>
      <c r="L45" t="s">
        <v>250</v>
      </c>
      <c r="M45" t="s">
        <v>28</v>
      </c>
      <c r="N45" t="s">
        <v>251</v>
      </c>
      <c r="O45" t="s">
        <v>35</v>
      </c>
      <c r="P45" t="s">
        <v>252</v>
      </c>
      <c r="Q45" t="s">
        <v>18</v>
      </c>
      <c r="R45" t="s">
        <v>18</v>
      </c>
    </row>
    <row r="46" spans="1:18">
      <c r="A46" t="s">
        <v>290</v>
      </c>
      <c r="B46" t="s">
        <v>291</v>
      </c>
      <c r="C46">
        <v>4.5</v>
      </c>
      <c r="D46">
        <v>-1866</v>
      </c>
      <c r="E46" t="s">
        <v>21</v>
      </c>
      <c r="F46" t="s">
        <v>22</v>
      </c>
      <c r="G46" t="s">
        <v>23</v>
      </c>
      <c r="H46" t="s">
        <v>21</v>
      </c>
      <c r="I46" t="s">
        <v>292</v>
      </c>
      <c r="J46" t="s">
        <v>25</v>
      </c>
      <c r="K46" t="s">
        <v>52</v>
      </c>
      <c r="L46" t="s">
        <v>293</v>
      </c>
      <c r="M46" t="s">
        <v>28</v>
      </c>
      <c r="N46" t="s">
        <v>294</v>
      </c>
      <c r="O46" t="s">
        <v>48</v>
      </c>
      <c r="P46" t="s">
        <v>295</v>
      </c>
      <c r="Q46" t="s">
        <v>18</v>
      </c>
      <c r="R46" t="s">
        <v>18</v>
      </c>
    </row>
    <row r="47" spans="1:18">
      <c r="A47" t="s">
        <v>296</v>
      </c>
      <c r="B47" t="s">
        <v>297</v>
      </c>
      <c r="C47">
        <v>4.5</v>
      </c>
      <c r="D47">
        <v>-566</v>
      </c>
      <c r="E47" t="s">
        <v>21</v>
      </c>
      <c r="F47" t="s">
        <v>22</v>
      </c>
      <c r="G47" t="s">
        <v>35</v>
      </c>
      <c r="H47" t="s">
        <v>21</v>
      </c>
      <c r="I47" t="s">
        <v>21</v>
      </c>
      <c r="J47" t="s">
        <v>25</v>
      </c>
      <c r="K47" t="s">
        <v>26</v>
      </c>
      <c r="L47" t="s">
        <v>298</v>
      </c>
      <c r="M47" t="s">
        <v>28</v>
      </c>
      <c r="N47" t="s">
        <v>105</v>
      </c>
      <c r="O47" t="s">
        <v>193</v>
      </c>
      <c r="P47" t="s">
        <v>299</v>
      </c>
      <c r="Q47" t="s">
        <v>57</v>
      </c>
      <c r="R47" t="s">
        <v>300</v>
      </c>
    </row>
    <row r="48" spans="1:18">
      <c r="A48" t="s">
        <v>301</v>
      </c>
      <c r="B48" t="s">
        <v>302</v>
      </c>
      <c r="C48">
        <v>4.5</v>
      </c>
      <c r="D48">
        <v>-69</v>
      </c>
      <c r="E48" t="s">
        <v>21</v>
      </c>
      <c r="F48" t="s">
        <v>126</v>
      </c>
      <c r="G48" t="s">
        <v>35</v>
      </c>
      <c r="H48" t="s">
        <v>21</v>
      </c>
      <c r="I48" t="s">
        <v>303</v>
      </c>
      <c r="J48" t="s">
        <v>184</v>
      </c>
      <c r="K48" t="s">
        <v>304</v>
      </c>
      <c r="L48" t="s">
        <v>305</v>
      </c>
      <c r="M48" t="s">
        <v>28</v>
      </c>
      <c r="N48" t="s">
        <v>306</v>
      </c>
      <c r="O48" t="s">
        <v>18</v>
      </c>
      <c r="P48" t="s">
        <v>18</v>
      </c>
      <c r="Q48" t="s">
        <v>18</v>
      </c>
      <c r="R48" t="s">
        <v>18</v>
      </c>
    </row>
    <row r="49" spans="1:18">
      <c r="A49" t="s">
        <v>307</v>
      </c>
      <c r="B49" t="s">
        <v>308</v>
      </c>
      <c r="C49">
        <v>4.3</v>
      </c>
      <c r="D49">
        <v>-608</v>
      </c>
      <c r="E49" t="s">
        <v>21</v>
      </c>
      <c r="F49" t="s">
        <v>126</v>
      </c>
      <c r="G49" t="s">
        <v>35</v>
      </c>
      <c r="H49" t="s">
        <v>21</v>
      </c>
      <c r="I49" t="s">
        <v>21</v>
      </c>
      <c r="J49" t="s">
        <v>184</v>
      </c>
      <c r="K49" t="s">
        <v>236</v>
      </c>
      <c r="L49" t="s">
        <v>309</v>
      </c>
      <c r="M49" t="s">
        <v>28</v>
      </c>
      <c r="N49" t="s">
        <v>310</v>
      </c>
      <c r="O49" t="s">
        <v>30</v>
      </c>
      <c r="P49" t="s">
        <v>311</v>
      </c>
      <c r="Q49" t="s">
        <v>41</v>
      </c>
      <c r="R49" t="s">
        <v>207</v>
      </c>
    </row>
    <row r="50" spans="1:18">
      <c r="A50" t="s">
        <v>312</v>
      </c>
      <c r="B50" t="s">
        <v>313</v>
      </c>
      <c r="C50">
        <v>4.2</v>
      </c>
      <c r="D50">
        <v>-318</v>
      </c>
      <c r="E50" t="s">
        <v>21</v>
      </c>
      <c r="F50" t="s">
        <v>22</v>
      </c>
      <c r="G50" t="s">
        <v>35</v>
      </c>
      <c r="H50" t="s">
        <v>21</v>
      </c>
      <c r="I50" t="s">
        <v>21</v>
      </c>
      <c r="J50" t="s">
        <v>25</v>
      </c>
      <c r="K50" t="s">
        <v>81</v>
      </c>
      <c r="L50" t="s">
        <v>314</v>
      </c>
      <c r="M50" t="s">
        <v>28</v>
      </c>
      <c r="N50" t="s">
        <v>315</v>
      </c>
      <c r="O50" t="s">
        <v>193</v>
      </c>
      <c r="P50" t="s">
        <v>316</v>
      </c>
      <c r="Q50" t="s">
        <v>41</v>
      </c>
      <c r="R50" t="s">
        <v>317</v>
      </c>
    </row>
    <row r="51" spans="1:18">
      <c r="A51" t="s">
        <v>318</v>
      </c>
      <c r="B51" t="s">
        <v>319</v>
      </c>
      <c r="C51">
        <v>4.5999999999999996</v>
      </c>
      <c r="D51">
        <v>-151</v>
      </c>
      <c r="E51" t="s">
        <v>21</v>
      </c>
      <c r="F51" t="s">
        <v>126</v>
      </c>
      <c r="G51" t="s">
        <v>35</v>
      </c>
      <c r="H51" t="s">
        <v>21</v>
      </c>
      <c r="I51" t="s">
        <v>21</v>
      </c>
      <c r="J51" t="s">
        <v>184</v>
      </c>
      <c r="K51" t="s">
        <v>320</v>
      </c>
      <c r="L51" t="s">
        <v>321</v>
      </c>
      <c r="M51" t="s">
        <v>28</v>
      </c>
      <c r="N51" t="s">
        <v>322</v>
      </c>
      <c r="O51" t="s">
        <v>48</v>
      </c>
      <c r="P51" t="s">
        <v>323</v>
      </c>
      <c r="Q51" t="s">
        <v>41</v>
      </c>
      <c r="R51" t="s">
        <v>324</v>
      </c>
    </row>
    <row r="52" spans="1:18">
      <c r="A52" t="s">
        <v>267</v>
      </c>
      <c r="B52" t="s">
        <v>268</v>
      </c>
      <c r="C52">
        <v>4.8</v>
      </c>
      <c r="D52">
        <v>-95</v>
      </c>
      <c r="E52" t="s">
        <v>21</v>
      </c>
      <c r="F52" t="s">
        <v>126</v>
      </c>
      <c r="G52" t="s">
        <v>102</v>
      </c>
      <c r="H52" t="s">
        <v>21</v>
      </c>
      <c r="I52" t="s">
        <v>269</v>
      </c>
      <c r="J52" t="s">
        <v>25</v>
      </c>
      <c r="K52" t="s">
        <v>52</v>
      </c>
      <c r="L52" t="s">
        <v>270</v>
      </c>
      <c r="M52" t="s">
        <v>28</v>
      </c>
      <c r="N52" t="s">
        <v>271</v>
      </c>
      <c r="O52" t="s">
        <v>48</v>
      </c>
      <c r="P52" t="s">
        <v>272</v>
      </c>
      <c r="Q52" t="s">
        <v>18</v>
      </c>
      <c r="R52" t="s">
        <v>18</v>
      </c>
    </row>
    <row r="53" spans="1:18">
      <c r="A53" t="s">
        <v>325</v>
      </c>
      <c r="B53" t="s">
        <v>326</v>
      </c>
      <c r="C53">
        <v>4.8</v>
      </c>
      <c r="D53">
        <v>-809</v>
      </c>
      <c r="E53" t="s">
        <v>18</v>
      </c>
      <c r="F53" t="s">
        <v>22</v>
      </c>
      <c r="G53" t="s">
        <v>35</v>
      </c>
      <c r="H53" t="s">
        <v>21</v>
      </c>
      <c r="I53" t="s">
        <v>21</v>
      </c>
      <c r="J53" t="s">
        <v>25</v>
      </c>
      <c r="K53" t="s">
        <v>52</v>
      </c>
      <c r="L53" t="s">
        <v>327</v>
      </c>
      <c r="M53" t="s">
        <v>28</v>
      </c>
      <c r="N53" t="s">
        <v>90</v>
      </c>
      <c r="O53" t="s">
        <v>48</v>
      </c>
      <c r="P53" t="s">
        <v>328</v>
      </c>
      <c r="Q53" t="s">
        <v>41</v>
      </c>
      <c r="R53" t="s">
        <v>329</v>
      </c>
    </row>
    <row r="54" spans="1:18">
      <c r="A54" t="s">
        <v>330</v>
      </c>
      <c r="B54" t="s">
        <v>331</v>
      </c>
      <c r="C54">
        <v>4.5</v>
      </c>
      <c r="D54">
        <v>-169</v>
      </c>
      <c r="E54" t="s">
        <v>21</v>
      </c>
      <c r="F54" t="s">
        <v>22</v>
      </c>
      <c r="G54" t="s">
        <v>23</v>
      </c>
      <c r="H54" t="s">
        <v>21</v>
      </c>
      <c r="I54" t="s">
        <v>332</v>
      </c>
      <c r="J54" t="s">
        <v>25</v>
      </c>
      <c r="K54" t="s">
        <v>52</v>
      </c>
      <c r="L54" t="s">
        <v>333</v>
      </c>
      <c r="M54" t="s">
        <v>28</v>
      </c>
      <c r="N54" t="s">
        <v>90</v>
      </c>
      <c r="O54" t="s">
        <v>77</v>
      </c>
      <c r="P54" t="s">
        <v>334</v>
      </c>
      <c r="Q54" t="s">
        <v>18</v>
      </c>
      <c r="R54" t="s">
        <v>18</v>
      </c>
    </row>
    <row r="55" spans="1:18">
      <c r="A55" t="s">
        <v>335</v>
      </c>
      <c r="B55" t="s">
        <v>336</v>
      </c>
      <c r="C55">
        <v>4.8</v>
      </c>
      <c r="D55">
        <v>-313</v>
      </c>
      <c r="E55" t="s">
        <v>21</v>
      </c>
      <c r="F55" t="s">
        <v>22</v>
      </c>
      <c r="G55" t="s">
        <v>35</v>
      </c>
      <c r="H55" t="s">
        <v>21</v>
      </c>
      <c r="I55" t="s">
        <v>337</v>
      </c>
      <c r="J55" t="s">
        <v>25</v>
      </c>
      <c r="K55" t="s">
        <v>81</v>
      </c>
      <c r="L55" t="s">
        <v>338</v>
      </c>
      <c r="M55" t="s">
        <v>28</v>
      </c>
      <c r="N55" t="s">
        <v>339</v>
      </c>
      <c r="O55" t="s">
        <v>77</v>
      </c>
      <c r="P55" t="s">
        <v>340</v>
      </c>
      <c r="Q55" t="s">
        <v>18</v>
      </c>
      <c r="R55" t="s">
        <v>18</v>
      </c>
    </row>
    <row r="56" spans="1:18">
      <c r="A56" t="s">
        <v>279</v>
      </c>
      <c r="B56" t="s">
        <v>280</v>
      </c>
      <c r="C56">
        <v>4.5999999999999996</v>
      </c>
      <c r="D56">
        <v>-160</v>
      </c>
      <c r="E56" t="s">
        <v>21</v>
      </c>
      <c r="F56" t="s">
        <v>34</v>
      </c>
      <c r="G56" t="s">
        <v>35</v>
      </c>
      <c r="H56" t="s">
        <v>21</v>
      </c>
      <c r="I56" t="s">
        <v>281</v>
      </c>
      <c r="J56" t="s">
        <v>25</v>
      </c>
      <c r="K56" t="s">
        <v>135</v>
      </c>
      <c r="L56" t="s">
        <v>282</v>
      </c>
      <c r="M56" t="s">
        <v>28</v>
      </c>
      <c r="N56" t="s">
        <v>283</v>
      </c>
      <c r="O56" t="s">
        <v>39</v>
      </c>
      <c r="P56" t="s">
        <v>284</v>
      </c>
      <c r="Q56" t="s">
        <v>18</v>
      </c>
      <c r="R56" t="s">
        <v>18</v>
      </c>
    </row>
    <row r="57" spans="1:18">
      <c r="A57" t="s">
        <v>341</v>
      </c>
      <c r="B57" t="s">
        <v>342</v>
      </c>
      <c r="C57">
        <v>4.4000000000000004</v>
      </c>
      <c r="D57">
        <v>-1119</v>
      </c>
      <c r="E57" t="s">
        <v>21</v>
      </c>
      <c r="F57" t="s">
        <v>22</v>
      </c>
      <c r="G57" t="s">
        <v>35</v>
      </c>
      <c r="H57" t="s">
        <v>21</v>
      </c>
      <c r="I57" t="s">
        <v>21</v>
      </c>
      <c r="J57" t="s">
        <v>25</v>
      </c>
      <c r="K57" t="s">
        <v>26</v>
      </c>
      <c r="L57" t="s">
        <v>343</v>
      </c>
      <c r="M57" t="s">
        <v>28</v>
      </c>
      <c r="N57" t="s">
        <v>130</v>
      </c>
      <c r="O57" t="s">
        <v>77</v>
      </c>
      <c r="P57" t="s">
        <v>344</v>
      </c>
      <c r="Q57" t="s">
        <v>41</v>
      </c>
      <c r="R57" t="s">
        <v>345</v>
      </c>
    </row>
    <row r="58" spans="1:18">
      <c r="A58" t="s">
        <v>346</v>
      </c>
      <c r="B58" t="s">
        <v>347</v>
      </c>
      <c r="C58">
        <v>4.5</v>
      </c>
      <c r="D58">
        <v>-662</v>
      </c>
      <c r="E58" t="s">
        <v>21</v>
      </c>
      <c r="F58" t="s">
        <v>126</v>
      </c>
      <c r="G58" t="s">
        <v>23</v>
      </c>
      <c r="H58" t="s">
        <v>21</v>
      </c>
      <c r="I58" t="s">
        <v>21</v>
      </c>
      <c r="J58" t="s">
        <v>25</v>
      </c>
      <c r="K58" t="s">
        <v>36</v>
      </c>
      <c r="L58" t="s">
        <v>348</v>
      </c>
      <c r="M58" t="s">
        <v>28</v>
      </c>
      <c r="N58" t="s">
        <v>105</v>
      </c>
      <c r="O58" t="s">
        <v>48</v>
      </c>
      <c r="P58" t="s">
        <v>349</v>
      </c>
      <c r="Q58" t="s">
        <v>57</v>
      </c>
      <c r="R58" t="s">
        <v>350</v>
      </c>
    </row>
    <row r="59" spans="1:18">
      <c r="A59" t="s">
        <v>351</v>
      </c>
      <c r="B59" t="s">
        <v>352</v>
      </c>
      <c r="C59">
        <v>4.3</v>
      </c>
      <c r="D59">
        <v>-1061</v>
      </c>
      <c r="E59" t="s">
        <v>21</v>
      </c>
      <c r="F59" t="s">
        <v>22</v>
      </c>
      <c r="G59" t="s">
        <v>23</v>
      </c>
      <c r="H59" t="s">
        <v>21</v>
      </c>
      <c r="I59" t="s">
        <v>21</v>
      </c>
      <c r="J59" t="s">
        <v>25</v>
      </c>
      <c r="K59" t="s">
        <v>74</v>
      </c>
      <c r="L59" t="s">
        <v>353</v>
      </c>
      <c r="M59" t="s">
        <v>28</v>
      </c>
      <c r="N59" t="s">
        <v>105</v>
      </c>
      <c r="O59" t="s">
        <v>48</v>
      </c>
      <c r="P59" t="s">
        <v>354</v>
      </c>
      <c r="Q59" t="s">
        <v>41</v>
      </c>
      <c r="R59" t="s">
        <v>355</v>
      </c>
    </row>
    <row r="60" spans="1:18">
      <c r="A60" t="s">
        <v>356</v>
      </c>
      <c r="B60" t="s">
        <v>357</v>
      </c>
      <c r="C60">
        <v>4.9000000000000004</v>
      </c>
      <c r="D60">
        <v>-834</v>
      </c>
      <c r="E60" t="s">
        <v>21</v>
      </c>
      <c r="F60" t="s">
        <v>22</v>
      </c>
      <c r="G60" t="s">
        <v>35</v>
      </c>
      <c r="H60" t="s">
        <v>21</v>
      </c>
      <c r="I60" t="s">
        <v>358</v>
      </c>
      <c r="J60" t="s">
        <v>25</v>
      </c>
      <c r="K60" t="s">
        <v>74</v>
      </c>
      <c r="L60" t="s">
        <v>359</v>
      </c>
      <c r="M60" t="s">
        <v>28</v>
      </c>
      <c r="N60" t="s">
        <v>105</v>
      </c>
      <c r="O60" t="s">
        <v>30</v>
      </c>
      <c r="P60" t="s">
        <v>360</v>
      </c>
      <c r="Q60" t="s">
        <v>18</v>
      </c>
      <c r="R60" t="s">
        <v>18</v>
      </c>
    </row>
    <row r="61" spans="1:18">
      <c r="A61" t="s">
        <v>361</v>
      </c>
      <c r="B61" t="s">
        <v>362</v>
      </c>
      <c r="C61">
        <v>4.9000000000000004</v>
      </c>
      <c r="D61">
        <v>-51</v>
      </c>
      <c r="E61" t="s">
        <v>21</v>
      </c>
      <c r="F61" t="s">
        <v>126</v>
      </c>
      <c r="G61" t="s">
        <v>35</v>
      </c>
      <c r="H61" t="s">
        <v>21</v>
      </c>
      <c r="I61" t="s">
        <v>363</v>
      </c>
      <c r="J61" t="s">
        <v>25</v>
      </c>
      <c r="K61" t="s">
        <v>52</v>
      </c>
      <c r="L61" t="s">
        <v>364</v>
      </c>
      <c r="M61" t="s">
        <v>28</v>
      </c>
      <c r="N61" t="s">
        <v>365</v>
      </c>
      <c r="O61" t="s">
        <v>69</v>
      </c>
      <c r="P61" t="s">
        <v>366</v>
      </c>
      <c r="Q61" t="s">
        <v>18</v>
      </c>
      <c r="R61" t="s">
        <v>18</v>
      </c>
    </row>
    <row r="62" spans="1:18">
      <c r="A62" t="s">
        <v>367</v>
      </c>
      <c r="B62" t="s">
        <v>368</v>
      </c>
      <c r="C62">
        <v>4.5</v>
      </c>
      <c r="D62">
        <v>-90</v>
      </c>
      <c r="E62" t="s">
        <v>21</v>
      </c>
      <c r="F62" t="s">
        <v>126</v>
      </c>
      <c r="G62" t="s">
        <v>35</v>
      </c>
      <c r="H62" t="s">
        <v>21</v>
      </c>
      <c r="I62" t="s">
        <v>369</v>
      </c>
      <c r="J62" t="s">
        <v>25</v>
      </c>
      <c r="K62" t="s">
        <v>52</v>
      </c>
      <c r="L62" t="s">
        <v>370</v>
      </c>
      <c r="M62" t="s">
        <v>28</v>
      </c>
      <c r="N62" t="s">
        <v>251</v>
      </c>
      <c r="O62" t="s">
        <v>371</v>
      </c>
      <c r="P62" t="s">
        <v>372</v>
      </c>
      <c r="Q62" t="s">
        <v>18</v>
      </c>
      <c r="R62" t="s">
        <v>18</v>
      </c>
    </row>
    <row r="63" spans="1:18">
      <c r="A63" t="s">
        <v>373</v>
      </c>
      <c r="B63" t="s">
        <v>374</v>
      </c>
      <c r="C63">
        <v>4.4000000000000004</v>
      </c>
      <c r="D63">
        <v>-629</v>
      </c>
      <c r="E63" t="s">
        <v>21</v>
      </c>
      <c r="F63" t="s">
        <v>22</v>
      </c>
      <c r="G63" t="s">
        <v>23</v>
      </c>
      <c r="H63" t="s">
        <v>21</v>
      </c>
      <c r="I63" t="s">
        <v>21</v>
      </c>
      <c r="J63" t="s">
        <v>184</v>
      </c>
      <c r="K63" t="s">
        <v>320</v>
      </c>
      <c r="L63" t="s">
        <v>375</v>
      </c>
      <c r="M63" t="s">
        <v>28</v>
      </c>
      <c r="N63" t="s">
        <v>376</v>
      </c>
      <c r="O63" t="s">
        <v>48</v>
      </c>
      <c r="P63" t="s">
        <v>377</v>
      </c>
      <c r="Q63" t="s">
        <v>57</v>
      </c>
      <c r="R63" t="s">
        <v>378</v>
      </c>
    </row>
    <row r="64" spans="1:18">
      <c r="A64" t="s">
        <v>379</v>
      </c>
      <c r="B64" t="s">
        <v>380</v>
      </c>
      <c r="C64">
        <v>4.9000000000000004</v>
      </c>
      <c r="D64">
        <v>-333</v>
      </c>
      <c r="E64" t="s">
        <v>18</v>
      </c>
      <c r="F64" t="s">
        <v>34</v>
      </c>
      <c r="G64" t="s">
        <v>381</v>
      </c>
      <c r="H64" t="s">
        <v>21</v>
      </c>
      <c r="I64" t="s">
        <v>382</v>
      </c>
      <c r="J64" t="s">
        <v>25</v>
      </c>
      <c r="K64" t="s">
        <v>26</v>
      </c>
      <c r="L64" t="s">
        <v>383</v>
      </c>
      <c r="M64" t="s">
        <v>384</v>
      </c>
      <c r="N64" t="s">
        <v>385</v>
      </c>
      <c r="O64" t="s">
        <v>386</v>
      </c>
      <c r="P64" t="s">
        <v>18</v>
      </c>
      <c r="Q64" t="s">
        <v>18</v>
      </c>
      <c r="R64" t="s">
        <v>18</v>
      </c>
    </row>
    <row r="65" spans="1:18">
      <c r="A65" t="s">
        <v>379</v>
      </c>
      <c r="B65" t="s">
        <v>380</v>
      </c>
      <c r="C65">
        <v>4.9000000000000004</v>
      </c>
      <c r="D65">
        <v>-333</v>
      </c>
      <c r="E65" t="s">
        <v>18</v>
      </c>
      <c r="F65" t="s">
        <v>34</v>
      </c>
      <c r="G65" t="s">
        <v>381</v>
      </c>
      <c r="H65" t="s">
        <v>21</v>
      </c>
      <c r="I65" t="s">
        <v>382</v>
      </c>
      <c r="J65" t="s">
        <v>25</v>
      </c>
      <c r="K65" t="s">
        <v>26</v>
      </c>
      <c r="L65" t="s">
        <v>383</v>
      </c>
      <c r="M65" t="s">
        <v>384</v>
      </c>
      <c r="N65" t="s">
        <v>385</v>
      </c>
      <c r="O65" t="s">
        <v>386</v>
      </c>
      <c r="P65" t="s">
        <v>18</v>
      </c>
      <c r="Q65" t="s">
        <v>18</v>
      </c>
      <c r="R65" t="s">
        <v>18</v>
      </c>
    </row>
    <row r="66" spans="1:18">
      <c r="A66" t="s">
        <v>387</v>
      </c>
      <c r="B66" t="s">
        <v>388</v>
      </c>
      <c r="C66">
        <v>4.3</v>
      </c>
      <c r="D66">
        <v>-500</v>
      </c>
      <c r="E66" t="s">
        <v>21</v>
      </c>
      <c r="F66" t="s">
        <v>22</v>
      </c>
      <c r="G66" t="s">
        <v>35</v>
      </c>
      <c r="H66" t="s">
        <v>21</v>
      </c>
      <c r="I66" t="s">
        <v>389</v>
      </c>
      <c r="J66" t="s">
        <v>25</v>
      </c>
      <c r="K66" t="s">
        <v>26</v>
      </c>
      <c r="L66" t="s">
        <v>390</v>
      </c>
      <c r="M66" t="s">
        <v>28</v>
      </c>
      <c r="N66" t="s">
        <v>130</v>
      </c>
      <c r="O66" t="s">
        <v>35</v>
      </c>
      <c r="P66" t="s">
        <v>391</v>
      </c>
      <c r="Q66" t="s">
        <v>18</v>
      </c>
      <c r="R66" t="s">
        <v>18</v>
      </c>
    </row>
    <row r="67" spans="1:18">
      <c r="A67" t="s">
        <v>392</v>
      </c>
      <c r="B67" t="s">
        <v>393</v>
      </c>
      <c r="C67">
        <v>4.7</v>
      </c>
      <c r="D67">
        <v>-508</v>
      </c>
      <c r="E67" t="s">
        <v>21</v>
      </c>
      <c r="F67" t="s">
        <v>22</v>
      </c>
      <c r="G67" t="s">
        <v>35</v>
      </c>
      <c r="H67" t="s">
        <v>21</v>
      </c>
      <c r="I67" t="s">
        <v>21</v>
      </c>
      <c r="J67" t="s">
        <v>25</v>
      </c>
      <c r="K67" t="s">
        <v>81</v>
      </c>
      <c r="L67" t="s">
        <v>394</v>
      </c>
      <c r="M67" t="s">
        <v>28</v>
      </c>
      <c r="N67" t="s">
        <v>395</v>
      </c>
      <c r="O67" t="s">
        <v>39</v>
      </c>
      <c r="P67" t="s">
        <v>396</v>
      </c>
      <c r="Q67" t="s">
        <v>57</v>
      </c>
      <c r="R67" t="s">
        <v>397</v>
      </c>
    </row>
    <row r="68" spans="1:18">
      <c r="A68" t="s">
        <v>398</v>
      </c>
      <c r="B68" t="s">
        <v>399</v>
      </c>
      <c r="C68">
        <v>4.7</v>
      </c>
      <c r="D68">
        <v>-29</v>
      </c>
      <c r="E68" t="s">
        <v>21</v>
      </c>
      <c r="F68" t="s">
        <v>126</v>
      </c>
      <c r="G68" t="s">
        <v>35</v>
      </c>
      <c r="H68" t="s">
        <v>21</v>
      </c>
      <c r="I68" t="s">
        <v>21</v>
      </c>
      <c r="J68" t="s">
        <v>184</v>
      </c>
      <c r="K68" t="s">
        <v>400</v>
      </c>
      <c r="L68" t="s">
        <v>401</v>
      </c>
      <c r="M68" t="s">
        <v>28</v>
      </c>
      <c r="N68" t="s">
        <v>402</v>
      </c>
      <c r="O68" t="s">
        <v>193</v>
      </c>
      <c r="P68" t="s">
        <v>251</v>
      </c>
      <c r="Q68" t="s">
        <v>57</v>
      </c>
      <c r="R68" t="s">
        <v>403</v>
      </c>
    </row>
    <row r="69" spans="1:18">
      <c r="A69" t="s">
        <v>404</v>
      </c>
      <c r="B69" t="s">
        <v>405</v>
      </c>
      <c r="C69">
        <v>4.0999999999999996</v>
      </c>
      <c r="D69">
        <v>-16</v>
      </c>
      <c r="E69" t="s">
        <v>21</v>
      </c>
      <c r="F69" t="s">
        <v>34</v>
      </c>
      <c r="G69" t="s">
        <v>23</v>
      </c>
      <c r="H69" t="s">
        <v>21</v>
      </c>
      <c r="I69" t="s">
        <v>406</v>
      </c>
      <c r="J69" t="s">
        <v>25</v>
      </c>
      <c r="K69" t="s">
        <v>74</v>
      </c>
      <c r="L69" t="s">
        <v>407</v>
      </c>
      <c r="M69" t="s">
        <v>28</v>
      </c>
      <c r="N69" t="s">
        <v>408</v>
      </c>
      <c r="O69" t="s">
        <v>48</v>
      </c>
      <c r="P69" t="s">
        <v>409</v>
      </c>
      <c r="Q69" t="s">
        <v>18</v>
      </c>
      <c r="R69" t="s">
        <v>18</v>
      </c>
    </row>
    <row r="70" spans="1:18">
      <c r="A70" t="s">
        <v>410</v>
      </c>
      <c r="B70" t="s">
        <v>411</v>
      </c>
      <c r="C70">
        <v>4.9000000000000004</v>
      </c>
      <c r="D70">
        <v>-1600</v>
      </c>
      <c r="E70" t="s">
        <v>21</v>
      </c>
      <c r="F70" t="s">
        <v>126</v>
      </c>
      <c r="G70" t="s">
        <v>412</v>
      </c>
      <c r="H70" t="s">
        <v>21</v>
      </c>
      <c r="I70" t="s">
        <v>21</v>
      </c>
      <c r="J70" t="s">
        <v>184</v>
      </c>
      <c r="K70" t="s">
        <v>413</v>
      </c>
      <c r="L70" t="s">
        <v>414</v>
      </c>
      <c r="M70" t="s">
        <v>28</v>
      </c>
      <c r="N70" t="s">
        <v>415</v>
      </c>
      <c r="O70" t="s">
        <v>77</v>
      </c>
      <c r="P70" t="s">
        <v>416</v>
      </c>
      <c r="Q70" t="s">
        <v>57</v>
      </c>
      <c r="R70" t="s">
        <v>417</v>
      </c>
    </row>
    <row r="71" spans="1:18">
      <c r="A71" t="s">
        <v>418</v>
      </c>
      <c r="B71" t="s">
        <v>419</v>
      </c>
      <c r="C71">
        <v>4.7</v>
      </c>
      <c r="D71">
        <v>-1269</v>
      </c>
      <c r="E71" t="s">
        <v>21</v>
      </c>
      <c r="F71" t="s">
        <v>22</v>
      </c>
      <c r="G71" t="s">
        <v>35</v>
      </c>
      <c r="H71" t="s">
        <v>21</v>
      </c>
      <c r="I71" t="s">
        <v>21</v>
      </c>
      <c r="J71" t="s">
        <v>25</v>
      </c>
      <c r="K71" t="s">
        <v>52</v>
      </c>
      <c r="L71" t="s">
        <v>420</v>
      </c>
      <c r="M71" t="s">
        <v>28</v>
      </c>
      <c r="N71" t="s">
        <v>105</v>
      </c>
      <c r="O71" t="s">
        <v>30</v>
      </c>
      <c r="P71" t="s">
        <v>421</v>
      </c>
      <c r="Q71" t="s">
        <v>57</v>
      </c>
      <c r="R71" t="s">
        <v>422</v>
      </c>
    </row>
    <row r="72" spans="1:18">
      <c r="A72" t="s">
        <v>423</v>
      </c>
      <c r="B72" t="s">
        <v>424</v>
      </c>
      <c r="C72">
        <v>4.4000000000000004</v>
      </c>
      <c r="D72">
        <v>-297</v>
      </c>
      <c r="E72" t="s">
        <v>21</v>
      </c>
      <c r="F72" t="s">
        <v>22</v>
      </c>
      <c r="G72" t="s">
        <v>23</v>
      </c>
      <c r="H72" t="s">
        <v>21</v>
      </c>
      <c r="I72" t="s">
        <v>425</v>
      </c>
      <c r="J72" t="s">
        <v>25</v>
      </c>
      <c r="K72" t="s">
        <v>26</v>
      </c>
      <c r="L72" t="s">
        <v>426</v>
      </c>
      <c r="M72" t="s">
        <v>28</v>
      </c>
      <c r="N72" t="s">
        <v>427</v>
      </c>
      <c r="O72" t="s">
        <v>30</v>
      </c>
      <c r="P72" t="s">
        <v>428</v>
      </c>
      <c r="Q72" t="s">
        <v>18</v>
      </c>
      <c r="R72" t="s">
        <v>18</v>
      </c>
    </row>
    <row r="73" spans="1:18">
      <c r="A73" t="s">
        <v>429</v>
      </c>
      <c r="B73" t="s">
        <v>430</v>
      </c>
      <c r="C73">
        <v>4.8</v>
      </c>
      <c r="D73">
        <v>-94</v>
      </c>
      <c r="E73" t="s">
        <v>21</v>
      </c>
      <c r="F73" t="s">
        <v>22</v>
      </c>
      <c r="G73" t="s">
        <v>35</v>
      </c>
      <c r="H73" t="s">
        <v>21</v>
      </c>
      <c r="I73" t="s">
        <v>431</v>
      </c>
      <c r="J73" t="s">
        <v>25</v>
      </c>
      <c r="K73" t="s">
        <v>135</v>
      </c>
      <c r="L73" t="s">
        <v>432</v>
      </c>
      <c r="M73" t="s">
        <v>28</v>
      </c>
      <c r="N73" t="s">
        <v>433</v>
      </c>
      <c r="O73" t="s">
        <v>55</v>
      </c>
      <c r="P73" t="s">
        <v>434</v>
      </c>
      <c r="Q73" t="s">
        <v>18</v>
      </c>
      <c r="R73" t="s">
        <v>18</v>
      </c>
    </row>
    <row r="74" spans="1:18">
      <c r="A74" t="s">
        <v>435</v>
      </c>
      <c r="B74" t="s">
        <v>436</v>
      </c>
      <c r="C74">
        <v>4.9000000000000004</v>
      </c>
      <c r="D74">
        <v>-11585</v>
      </c>
      <c r="E74" t="s">
        <v>21</v>
      </c>
      <c r="F74" t="s">
        <v>22</v>
      </c>
      <c r="G74" t="s">
        <v>35</v>
      </c>
      <c r="H74" t="s">
        <v>21</v>
      </c>
      <c r="I74" t="s">
        <v>21</v>
      </c>
      <c r="J74" t="s">
        <v>25</v>
      </c>
      <c r="K74" t="s">
        <v>52</v>
      </c>
      <c r="L74" t="s">
        <v>437</v>
      </c>
      <c r="M74" t="s">
        <v>28</v>
      </c>
      <c r="N74" t="s">
        <v>130</v>
      </c>
      <c r="O74" t="s">
        <v>77</v>
      </c>
      <c r="P74" t="s">
        <v>438</v>
      </c>
      <c r="Q74" t="s">
        <v>57</v>
      </c>
      <c r="R74" t="s">
        <v>439</v>
      </c>
    </row>
    <row r="75" spans="1:18">
      <c r="A75" t="s">
        <v>440</v>
      </c>
      <c r="B75" t="s">
        <v>441</v>
      </c>
      <c r="C75">
        <v>4.7</v>
      </c>
      <c r="D75">
        <v>-48</v>
      </c>
      <c r="E75" t="s">
        <v>21</v>
      </c>
      <c r="F75" t="s">
        <v>126</v>
      </c>
      <c r="G75" t="s">
        <v>35</v>
      </c>
      <c r="H75" t="s">
        <v>21</v>
      </c>
      <c r="I75" t="s">
        <v>442</v>
      </c>
      <c r="J75" t="s">
        <v>25</v>
      </c>
      <c r="K75" t="s">
        <v>443</v>
      </c>
      <c r="L75" t="s">
        <v>444</v>
      </c>
      <c r="M75" t="s">
        <v>28</v>
      </c>
      <c r="N75" t="s">
        <v>445</v>
      </c>
      <c r="O75" t="s">
        <v>39</v>
      </c>
      <c r="P75" t="s">
        <v>138</v>
      </c>
      <c r="Q75" t="s">
        <v>18</v>
      </c>
      <c r="R75" t="s">
        <v>18</v>
      </c>
    </row>
    <row r="76" spans="1:18">
      <c r="A76" t="s">
        <v>446</v>
      </c>
      <c r="B76" t="s">
        <v>447</v>
      </c>
      <c r="C76">
        <v>4.9000000000000004</v>
      </c>
      <c r="D76">
        <v>-2008</v>
      </c>
      <c r="E76" t="s">
        <v>18</v>
      </c>
      <c r="F76" t="s">
        <v>22</v>
      </c>
      <c r="G76" t="s">
        <v>102</v>
      </c>
      <c r="H76" t="s">
        <v>21</v>
      </c>
      <c r="I76" t="s">
        <v>21</v>
      </c>
      <c r="J76" t="s">
        <v>25</v>
      </c>
      <c r="K76" t="s">
        <v>128</v>
      </c>
      <c r="L76" t="s">
        <v>448</v>
      </c>
      <c r="M76" t="s">
        <v>28</v>
      </c>
      <c r="N76" t="s">
        <v>130</v>
      </c>
      <c r="O76" t="s">
        <v>193</v>
      </c>
      <c r="P76" t="s">
        <v>449</v>
      </c>
      <c r="Q76" t="s">
        <v>57</v>
      </c>
      <c r="R76" t="s">
        <v>450</v>
      </c>
    </row>
    <row r="77" spans="1:18">
      <c r="A77" t="s">
        <v>451</v>
      </c>
      <c r="B77" t="s">
        <v>452</v>
      </c>
      <c r="C77">
        <v>4.7</v>
      </c>
      <c r="D77">
        <v>-786</v>
      </c>
      <c r="E77" t="s">
        <v>21</v>
      </c>
      <c r="F77" t="s">
        <v>22</v>
      </c>
      <c r="G77" t="s">
        <v>23</v>
      </c>
      <c r="H77" t="s">
        <v>21</v>
      </c>
      <c r="I77" t="s">
        <v>21</v>
      </c>
      <c r="J77" t="s">
        <v>25</v>
      </c>
      <c r="K77" t="s">
        <v>52</v>
      </c>
      <c r="L77" t="s">
        <v>453</v>
      </c>
      <c r="M77" t="s">
        <v>28</v>
      </c>
      <c r="N77" t="s">
        <v>62</v>
      </c>
      <c r="O77" t="s">
        <v>193</v>
      </c>
      <c r="P77" t="s">
        <v>454</v>
      </c>
      <c r="Q77" t="s">
        <v>41</v>
      </c>
      <c r="R77" t="s">
        <v>455</v>
      </c>
    </row>
    <row r="78" spans="1:18">
      <c r="A78" t="s">
        <v>456</v>
      </c>
      <c r="B78" t="s">
        <v>457</v>
      </c>
      <c r="C78">
        <v>4.5</v>
      </c>
      <c r="D78">
        <v>-281</v>
      </c>
      <c r="E78" t="s">
        <v>21</v>
      </c>
      <c r="F78" t="s">
        <v>22</v>
      </c>
      <c r="G78" t="s">
        <v>23</v>
      </c>
      <c r="H78" t="s">
        <v>21</v>
      </c>
      <c r="I78" t="s">
        <v>458</v>
      </c>
      <c r="J78" t="s">
        <v>94</v>
      </c>
      <c r="K78" t="s">
        <v>213</v>
      </c>
      <c r="L78" t="s">
        <v>459</v>
      </c>
      <c r="M78" t="s">
        <v>28</v>
      </c>
      <c r="N78" t="s">
        <v>460</v>
      </c>
      <c r="O78" t="s">
        <v>77</v>
      </c>
      <c r="P78" t="s">
        <v>461</v>
      </c>
      <c r="Q78" t="s">
        <v>18</v>
      </c>
      <c r="R78" t="s">
        <v>18</v>
      </c>
    </row>
    <row r="79" spans="1:18">
      <c r="A79" t="s">
        <v>462</v>
      </c>
      <c r="B79" t="s">
        <v>463</v>
      </c>
      <c r="C79">
        <v>4.5</v>
      </c>
      <c r="D79">
        <v>-11336</v>
      </c>
      <c r="E79" t="s">
        <v>21</v>
      </c>
      <c r="F79" t="s">
        <v>22</v>
      </c>
      <c r="G79" t="s">
        <v>35</v>
      </c>
      <c r="H79" t="s">
        <v>21</v>
      </c>
      <c r="I79" t="s">
        <v>21</v>
      </c>
      <c r="J79" t="s">
        <v>25</v>
      </c>
      <c r="K79" t="s">
        <v>36</v>
      </c>
      <c r="L79" t="s">
        <v>464</v>
      </c>
      <c r="M79" t="s">
        <v>28</v>
      </c>
      <c r="N79" t="s">
        <v>465</v>
      </c>
      <c r="O79" t="s">
        <v>39</v>
      </c>
      <c r="P79" t="s">
        <v>466</v>
      </c>
      <c r="Q79" t="s">
        <v>57</v>
      </c>
      <c r="R79" t="s">
        <v>467</v>
      </c>
    </row>
    <row r="80" spans="1:18">
      <c r="A80" t="s">
        <v>71</v>
      </c>
      <c r="B80" t="s">
        <v>72</v>
      </c>
      <c r="C80">
        <v>4.7</v>
      </c>
      <c r="D80">
        <v>-910</v>
      </c>
      <c r="E80" t="s">
        <v>21</v>
      </c>
      <c r="F80" t="s">
        <v>34</v>
      </c>
      <c r="G80" t="s">
        <v>35</v>
      </c>
      <c r="H80" t="s">
        <v>21</v>
      </c>
      <c r="I80" t="s">
        <v>73</v>
      </c>
      <c r="J80" t="s">
        <v>184</v>
      </c>
      <c r="K80" t="s">
        <v>243</v>
      </c>
      <c r="L80" t="s">
        <v>75</v>
      </c>
      <c r="M80" t="s">
        <v>28</v>
      </c>
      <c r="N80" t="s">
        <v>76</v>
      </c>
      <c r="O80" t="s">
        <v>77</v>
      </c>
      <c r="P80" t="s">
        <v>78</v>
      </c>
      <c r="Q80" t="s">
        <v>18</v>
      </c>
      <c r="R80" t="s">
        <v>18</v>
      </c>
    </row>
    <row r="81" spans="1:18">
      <c r="A81" t="s">
        <v>1346</v>
      </c>
      <c r="B81" t="s">
        <v>1347</v>
      </c>
      <c r="C81">
        <v>4.9000000000000004</v>
      </c>
      <c r="D81">
        <v>-3679</v>
      </c>
      <c r="E81" t="s">
        <v>21</v>
      </c>
      <c r="F81" t="s">
        <v>22</v>
      </c>
      <c r="G81" t="s">
        <v>102</v>
      </c>
      <c r="H81" t="s">
        <v>21</v>
      </c>
      <c r="I81" t="s">
        <v>1349</v>
      </c>
      <c r="J81" t="s">
        <v>184</v>
      </c>
      <c r="K81" t="s">
        <v>185</v>
      </c>
      <c r="L81" t="s">
        <v>1470</v>
      </c>
      <c r="M81" t="s">
        <v>28</v>
      </c>
      <c r="N81" t="s">
        <v>130</v>
      </c>
      <c r="O81" t="s">
        <v>193</v>
      </c>
      <c r="P81" t="s">
        <v>1471</v>
      </c>
      <c r="Q81" t="s">
        <v>18</v>
      </c>
      <c r="R81" t="s">
        <v>18</v>
      </c>
    </row>
    <row r="82" spans="1:18">
      <c r="A82" t="s">
        <v>151</v>
      </c>
      <c r="B82" t="s">
        <v>152</v>
      </c>
      <c r="C82">
        <v>4.7</v>
      </c>
      <c r="D82">
        <v>-1452</v>
      </c>
      <c r="E82" t="s">
        <v>21</v>
      </c>
      <c r="F82" t="s">
        <v>34</v>
      </c>
      <c r="G82" t="s">
        <v>35</v>
      </c>
      <c r="H82" t="s">
        <v>21</v>
      </c>
      <c r="I82" t="s">
        <v>21</v>
      </c>
      <c r="J82" t="s">
        <v>184</v>
      </c>
      <c r="K82" t="s">
        <v>243</v>
      </c>
      <c r="L82" t="s">
        <v>1472</v>
      </c>
      <c r="M82" t="s">
        <v>28</v>
      </c>
      <c r="N82" t="s">
        <v>154</v>
      </c>
      <c r="O82" t="s">
        <v>30</v>
      </c>
      <c r="P82" t="s">
        <v>155</v>
      </c>
      <c r="Q82" t="s">
        <v>57</v>
      </c>
      <c r="R82" t="s">
        <v>156</v>
      </c>
    </row>
    <row r="83" spans="1:18">
      <c r="A83" t="s">
        <v>1463</v>
      </c>
      <c r="B83" t="s">
        <v>1464</v>
      </c>
      <c r="C83">
        <v>4.9000000000000004</v>
      </c>
      <c r="D83">
        <v>-22</v>
      </c>
      <c r="E83" t="s">
        <v>18</v>
      </c>
      <c r="F83" t="s">
        <v>34</v>
      </c>
      <c r="G83" t="s">
        <v>102</v>
      </c>
      <c r="H83" t="s">
        <v>21</v>
      </c>
      <c r="I83" t="s">
        <v>21</v>
      </c>
      <c r="J83" t="s">
        <v>184</v>
      </c>
      <c r="K83" t="s">
        <v>185</v>
      </c>
      <c r="L83" t="s">
        <v>1473</v>
      </c>
      <c r="M83" t="s">
        <v>28</v>
      </c>
      <c r="N83" t="s">
        <v>1474</v>
      </c>
      <c r="O83" t="s">
        <v>39</v>
      </c>
      <c r="P83" t="s">
        <v>1475</v>
      </c>
      <c r="Q83" t="s">
        <v>57</v>
      </c>
      <c r="R83" t="s">
        <v>1466</v>
      </c>
    </row>
    <row r="84" spans="1:18">
      <c r="A84" t="s">
        <v>1448</v>
      </c>
      <c r="B84" t="s">
        <v>1449</v>
      </c>
      <c r="C84">
        <v>4.9000000000000004</v>
      </c>
      <c r="D84">
        <v>-295</v>
      </c>
      <c r="E84" t="s">
        <v>18</v>
      </c>
      <c r="F84" t="s">
        <v>34</v>
      </c>
      <c r="G84" t="s">
        <v>255</v>
      </c>
      <c r="H84" t="s">
        <v>21</v>
      </c>
      <c r="I84" t="s">
        <v>1451</v>
      </c>
      <c r="J84" t="s">
        <v>184</v>
      </c>
      <c r="K84" t="s">
        <v>1476</v>
      </c>
      <c r="L84" t="s">
        <v>1477</v>
      </c>
      <c r="M84" t="s">
        <v>28</v>
      </c>
      <c r="N84" t="s">
        <v>1478</v>
      </c>
      <c r="O84" t="s">
        <v>18</v>
      </c>
      <c r="P84" t="s">
        <v>18</v>
      </c>
      <c r="Q84" t="s">
        <v>18</v>
      </c>
      <c r="R84" t="s">
        <v>18</v>
      </c>
    </row>
    <row r="85" spans="1:18">
      <c r="A85" t="s">
        <v>1401</v>
      </c>
      <c r="B85" t="s">
        <v>1402</v>
      </c>
      <c r="C85">
        <v>4.9000000000000004</v>
      </c>
      <c r="D85">
        <v>-755</v>
      </c>
      <c r="E85" t="s">
        <v>21</v>
      </c>
      <c r="F85" t="s">
        <v>22</v>
      </c>
      <c r="G85" t="s">
        <v>842</v>
      </c>
      <c r="H85" t="s">
        <v>21</v>
      </c>
      <c r="I85" t="s">
        <v>1404</v>
      </c>
      <c r="J85" t="s">
        <v>184</v>
      </c>
      <c r="K85" t="s">
        <v>471</v>
      </c>
      <c r="L85" t="s">
        <v>1479</v>
      </c>
      <c r="M85" t="s">
        <v>28</v>
      </c>
      <c r="N85" t="s">
        <v>1480</v>
      </c>
      <c r="O85" t="s">
        <v>77</v>
      </c>
      <c r="P85" t="s">
        <v>1481</v>
      </c>
      <c r="Q85" t="s">
        <v>18</v>
      </c>
      <c r="R85" t="s">
        <v>18</v>
      </c>
    </row>
    <row r="86" spans="1:18">
      <c r="A86" t="s">
        <v>1467</v>
      </c>
      <c r="B86" t="s">
        <v>1468</v>
      </c>
      <c r="C86">
        <v>5</v>
      </c>
      <c r="D86">
        <v>-2</v>
      </c>
      <c r="E86" t="s">
        <v>18</v>
      </c>
      <c r="F86" t="s">
        <v>34</v>
      </c>
      <c r="G86" t="s">
        <v>23</v>
      </c>
      <c r="H86" t="s">
        <v>21</v>
      </c>
      <c r="I86" t="s">
        <v>1469</v>
      </c>
      <c r="J86" t="s">
        <v>184</v>
      </c>
      <c r="K86" t="s">
        <v>243</v>
      </c>
      <c r="L86" t="s">
        <v>1482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8">
      <c r="A87" t="s">
        <v>247</v>
      </c>
      <c r="B87" t="s">
        <v>248</v>
      </c>
      <c r="C87">
        <v>4.7</v>
      </c>
      <c r="D87">
        <v>-126</v>
      </c>
      <c r="E87" t="s">
        <v>21</v>
      </c>
      <c r="F87" t="s">
        <v>22</v>
      </c>
      <c r="G87" t="s">
        <v>35</v>
      </c>
      <c r="H87" t="s">
        <v>21</v>
      </c>
      <c r="I87" t="s">
        <v>249</v>
      </c>
      <c r="J87" t="s">
        <v>184</v>
      </c>
      <c r="K87" t="s">
        <v>185</v>
      </c>
      <c r="L87" t="s">
        <v>250</v>
      </c>
      <c r="M87" t="s">
        <v>28</v>
      </c>
      <c r="N87" t="s">
        <v>251</v>
      </c>
      <c r="O87" t="s">
        <v>35</v>
      </c>
      <c r="P87" t="s">
        <v>252</v>
      </c>
      <c r="Q87" t="s">
        <v>18</v>
      </c>
      <c r="R87" t="s">
        <v>18</v>
      </c>
    </row>
    <row r="88" spans="1:18">
      <c r="A88" t="s">
        <v>1444</v>
      </c>
      <c r="B88" t="s">
        <v>1445</v>
      </c>
      <c r="C88">
        <v>4.7</v>
      </c>
      <c r="D88">
        <v>-315</v>
      </c>
      <c r="E88" t="s">
        <v>18</v>
      </c>
      <c r="F88" t="s">
        <v>34</v>
      </c>
      <c r="G88" t="s">
        <v>102</v>
      </c>
      <c r="H88" t="s">
        <v>21</v>
      </c>
      <c r="I88" t="s">
        <v>21</v>
      </c>
      <c r="J88" t="s">
        <v>184</v>
      </c>
      <c r="K88" t="s">
        <v>1483</v>
      </c>
      <c r="L88" t="s">
        <v>1484</v>
      </c>
      <c r="M88" t="s">
        <v>28</v>
      </c>
      <c r="N88" t="s">
        <v>1485</v>
      </c>
      <c r="O88" t="s">
        <v>39</v>
      </c>
      <c r="P88" t="s">
        <v>1486</v>
      </c>
      <c r="Q88" t="s">
        <v>57</v>
      </c>
      <c r="R88" t="s">
        <v>1447</v>
      </c>
    </row>
    <row r="89" spans="1:18">
      <c r="A89" t="s">
        <v>387</v>
      </c>
      <c r="B89" t="s">
        <v>388</v>
      </c>
      <c r="C89">
        <v>4.3</v>
      </c>
      <c r="D89">
        <v>-500</v>
      </c>
      <c r="E89" t="s">
        <v>21</v>
      </c>
      <c r="F89" t="s">
        <v>22</v>
      </c>
      <c r="G89" t="s">
        <v>35</v>
      </c>
      <c r="H89" t="s">
        <v>21</v>
      </c>
      <c r="I89" t="s">
        <v>389</v>
      </c>
      <c r="J89" t="s">
        <v>184</v>
      </c>
      <c r="K89" t="s">
        <v>243</v>
      </c>
      <c r="L89" t="s">
        <v>390</v>
      </c>
      <c r="M89" t="s">
        <v>28</v>
      </c>
      <c r="N89" t="s">
        <v>130</v>
      </c>
      <c r="O89" t="s">
        <v>35</v>
      </c>
      <c r="P89" t="s">
        <v>391</v>
      </c>
      <c r="Q89" t="s">
        <v>18</v>
      </c>
      <c r="R89" t="s">
        <v>18</v>
      </c>
    </row>
    <row r="90" spans="1:18">
      <c r="A90" t="s">
        <v>1429</v>
      </c>
      <c r="B90" t="s">
        <v>1430</v>
      </c>
      <c r="C90">
        <v>4.8</v>
      </c>
      <c r="D90">
        <v>-375</v>
      </c>
      <c r="E90" t="s">
        <v>21</v>
      </c>
      <c r="F90" t="s">
        <v>1386</v>
      </c>
      <c r="G90" t="s">
        <v>1487</v>
      </c>
      <c r="H90" t="s">
        <v>21</v>
      </c>
      <c r="I90" t="s">
        <v>1432</v>
      </c>
      <c r="J90" t="s">
        <v>184</v>
      </c>
      <c r="K90" t="s">
        <v>1488</v>
      </c>
      <c r="L90" t="s">
        <v>1489</v>
      </c>
      <c r="M90" t="s">
        <v>28</v>
      </c>
      <c r="N90" t="s">
        <v>1490</v>
      </c>
      <c r="O90" t="s">
        <v>18</v>
      </c>
      <c r="P90" t="s">
        <v>18</v>
      </c>
      <c r="Q90" t="s">
        <v>18</v>
      </c>
      <c r="R90" t="s">
        <v>18</v>
      </c>
    </row>
    <row r="91" spans="1:18">
      <c r="A91" t="s">
        <v>1354</v>
      </c>
      <c r="B91" t="s">
        <v>1355</v>
      </c>
      <c r="C91">
        <v>4.8</v>
      </c>
      <c r="D91">
        <v>-3412</v>
      </c>
      <c r="E91" t="s">
        <v>21</v>
      </c>
      <c r="F91" t="s">
        <v>34</v>
      </c>
      <c r="G91" t="s">
        <v>255</v>
      </c>
      <c r="H91" t="s">
        <v>21</v>
      </c>
      <c r="I91" t="s">
        <v>1357</v>
      </c>
      <c r="J91" t="s">
        <v>184</v>
      </c>
      <c r="K91" t="s">
        <v>262</v>
      </c>
      <c r="L91" t="s">
        <v>1491</v>
      </c>
      <c r="M91" t="s">
        <v>28</v>
      </c>
      <c r="N91" t="s">
        <v>1492</v>
      </c>
      <c r="O91" t="s">
        <v>48</v>
      </c>
      <c r="P91" t="s">
        <v>1493</v>
      </c>
      <c r="Q91" t="s">
        <v>18</v>
      </c>
      <c r="R91" t="s">
        <v>18</v>
      </c>
    </row>
    <row r="92" spans="1:18">
      <c r="A92" t="s">
        <v>1389</v>
      </c>
      <c r="B92" t="s">
        <v>1390</v>
      </c>
      <c r="C92">
        <v>4.7</v>
      </c>
      <c r="D92">
        <v>-1024</v>
      </c>
      <c r="E92" t="s">
        <v>18</v>
      </c>
      <c r="F92" t="s">
        <v>22</v>
      </c>
      <c r="G92" t="s">
        <v>842</v>
      </c>
      <c r="H92" t="s">
        <v>21</v>
      </c>
      <c r="I92" t="s">
        <v>1392</v>
      </c>
      <c r="J92" t="s">
        <v>184</v>
      </c>
      <c r="K92" t="s">
        <v>243</v>
      </c>
      <c r="L92" t="s">
        <v>1494</v>
      </c>
      <c r="M92" t="s">
        <v>28</v>
      </c>
      <c r="N92" t="s">
        <v>1495</v>
      </c>
      <c r="O92" t="s">
        <v>39</v>
      </c>
      <c r="P92" t="s">
        <v>1496</v>
      </c>
      <c r="Q92" t="s">
        <v>18</v>
      </c>
      <c r="R92" t="s">
        <v>18</v>
      </c>
    </row>
    <row r="93" spans="1:18">
      <c r="A93" t="s">
        <v>1405</v>
      </c>
      <c r="B93" t="s">
        <v>1406</v>
      </c>
      <c r="C93">
        <v>4.5999999999999996</v>
      </c>
      <c r="D93">
        <v>-622</v>
      </c>
      <c r="E93" t="s">
        <v>21</v>
      </c>
      <c r="F93" t="s">
        <v>22</v>
      </c>
      <c r="G93" t="s">
        <v>842</v>
      </c>
      <c r="H93" t="s">
        <v>21</v>
      </c>
      <c r="I93" t="s">
        <v>1408</v>
      </c>
      <c r="J93" t="s">
        <v>184</v>
      </c>
      <c r="K93" t="s">
        <v>243</v>
      </c>
      <c r="L93" t="s">
        <v>1497</v>
      </c>
      <c r="M93" t="s">
        <v>28</v>
      </c>
      <c r="N93" t="s">
        <v>130</v>
      </c>
      <c r="O93" t="s">
        <v>39</v>
      </c>
      <c r="P93" t="s">
        <v>1498</v>
      </c>
      <c r="Q93" t="s">
        <v>18</v>
      </c>
      <c r="R93" t="s">
        <v>18</v>
      </c>
    </row>
    <row r="94" spans="1:18">
      <c r="A94" t="s">
        <v>1342</v>
      </c>
      <c r="B94" t="s">
        <v>1343</v>
      </c>
      <c r="C94">
        <v>4.4000000000000004</v>
      </c>
      <c r="D94">
        <v>-4565</v>
      </c>
      <c r="E94" t="s">
        <v>21</v>
      </c>
      <c r="F94" t="s">
        <v>34</v>
      </c>
      <c r="G94" t="s">
        <v>842</v>
      </c>
      <c r="H94" t="s">
        <v>21</v>
      </c>
      <c r="I94" t="s">
        <v>21</v>
      </c>
      <c r="J94" t="s">
        <v>184</v>
      </c>
      <c r="K94" t="s">
        <v>471</v>
      </c>
      <c r="L94" t="s">
        <v>1499</v>
      </c>
      <c r="M94" t="s">
        <v>28</v>
      </c>
      <c r="N94" t="s">
        <v>1500</v>
      </c>
      <c r="O94" t="s">
        <v>39</v>
      </c>
      <c r="P94" t="s">
        <v>1501</v>
      </c>
      <c r="Q94" t="s">
        <v>41</v>
      </c>
      <c r="R94" t="s">
        <v>1345</v>
      </c>
    </row>
    <row r="95" spans="1:18">
      <c r="A95" t="s">
        <v>1350</v>
      </c>
      <c r="B95" t="s">
        <v>1351</v>
      </c>
      <c r="C95">
        <v>4.5999999999999996</v>
      </c>
      <c r="D95">
        <v>-3635</v>
      </c>
      <c r="E95" t="s">
        <v>21</v>
      </c>
      <c r="F95" t="s">
        <v>34</v>
      </c>
      <c r="G95" t="s">
        <v>102</v>
      </c>
      <c r="H95" t="s">
        <v>21</v>
      </c>
      <c r="I95" t="s">
        <v>21</v>
      </c>
      <c r="J95" t="s">
        <v>184</v>
      </c>
      <c r="K95" t="s">
        <v>1502</v>
      </c>
      <c r="L95" t="s">
        <v>1503</v>
      </c>
      <c r="M95" t="s">
        <v>28</v>
      </c>
      <c r="N95" t="s">
        <v>1504</v>
      </c>
      <c r="O95" t="s">
        <v>1505</v>
      </c>
      <c r="P95" t="s">
        <v>1506</v>
      </c>
      <c r="Q95" t="s">
        <v>57</v>
      </c>
      <c r="R95" t="s">
        <v>1353</v>
      </c>
    </row>
    <row r="96" spans="1:18">
      <c r="A96" t="s">
        <v>1413</v>
      </c>
      <c r="B96" t="s">
        <v>1414</v>
      </c>
      <c r="C96">
        <v>4.8</v>
      </c>
      <c r="D96">
        <v>-549</v>
      </c>
      <c r="E96" t="s">
        <v>18</v>
      </c>
      <c r="F96" t="s">
        <v>34</v>
      </c>
      <c r="G96" t="s">
        <v>102</v>
      </c>
      <c r="H96" t="s">
        <v>21</v>
      </c>
      <c r="I96" t="s">
        <v>1416</v>
      </c>
      <c r="J96" t="s">
        <v>25</v>
      </c>
      <c r="K96" t="s">
        <v>1507</v>
      </c>
      <c r="L96" t="s">
        <v>1508</v>
      </c>
      <c r="M96" t="s">
        <v>28</v>
      </c>
      <c r="N96" t="s">
        <v>130</v>
      </c>
      <c r="O96" t="s">
        <v>193</v>
      </c>
      <c r="P96" t="s">
        <v>1509</v>
      </c>
      <c r="Q96" t="s">
        <v>18</v>
      </c>
      <c r="R96" t="s">
        <v>18</v>
      </c>
    </row>
    <row r="97" spans="1:18">
      <c r="A97" t="s">
        <v>1378</v>
      </c>
      <c r="B97" t="s">
        <v>1379</v>
      </c>
      <c r="C97">
        <v>4.9000000000000004</v>
      </c>
      <c r="D97">
        <v>-1815</v>
      </c>
      <c r="E97" t="s">
        <v>18</v>
      </c>
      <c r="F97" t="s">
        <v>34</v>
      </c>
      <c r="G97" t="s">
        <v>255</v>
      </c>
      <c r="H97" t="s">
        <v>21</v>
      </c>
      <c r="I97" t="s">
        <v>1381</v>
      </c>
      <c r="J97" t="s">
        <v>184</v>
      </c>
      <c r="K97" t="s">
        <v>690</v>
      </c>
      <c r="L97" t="s">
        <v>1510</v>
      </c>
      <c r="M97" t="s">
        <v>28</v>
      </c>
      <c r="N97" t="s">
        <v>1511</v>
      </c>
      <c r="O97" t="s">
        <v>18</v>
      </c>
      <c r="P97" t="s">
        <v>18</v>
      </c>
      <c r="Q97" t="s">
        <v>18</v>
      </c>
      <c r="R97" t="s">
        <v>18</v>
      </c>
    </row>
    <row r="98" spans="1:18">
      <c r="A98" t="s">
        <v>1460</v>
      </c>
      <c r="B98" t="s">
        <v>1461</v>
      </c>
      <c r="C98">
        <v>4.9000000000000004</v>
      </c>
      <c r="D98">
        <v>-43</v>
      </c>
      <c r="E98" t="s">
        <v>21</v>
      </c>
      <c r="F98" t="s">
        <v>34</v>
      </c>
      <c r="G98" t="s">
        <v>488</v>
      </c>
      <c r="H98" t="s">
        <v>21</v>
      </c>
      <c r="I98" t="s">
        <v>1462</v>
      </c>
      <c r="J98" t="s">
        <v>18</v>
      </c>
      <c r="K98" t="s">
        <v>18</v>
      </c>
      <c r="L98" t="s">
        <v>1512</v>
      </c>
      <c r="M98" t="s">
        <v>28</v>
      </c>
      <c r="N98" t="s">
        <v>251</v>
      </c>
      <c r="O98" t="s">
        <v>1513</v>
      </c>
      <c r="P98" t="s">
        <v>1514</v>
      </c>
      <c r="Q98" t="s">
        <v>18</v>
      </c>
      <c r="R98" t="s">
        <v>18</v>
      </c>
    </row>
    <row r="99" spans="1:18">
      <c r="A99" t="s">
        <v>1362</v>
      </c>
      <c r="B99" t="s">
        <v>1363</v>
      </c>
      <c r="C99">
        <v>4.8</v>
      </c>
      <c r="D99">
        <v>-2821</v>
      </c>
      <c r="E99" t="s">
        <v>21</v>
      </c>
      <c r="F99" t="s">
        <v>22</v>
      </c>
      <c r="G99" t="s">
        <v>102</v>
      </c>
      <c r="H99" t="s">
        <v>21</v>
      </c>
      <c r="I99" t="s">
        <v>21</v>
      </c>
      <c r="J99" t="s">
        <v>184</v>
      </c>
      <c r="K99" t="s">
        <v>185</v>
      </c>
      <c r="L99" t="s">
        <v>1515</v>
      </c>
      <c r="M99" t="s">
        <v>28</v>
      </c>
      <c r="N99" t="s">
        <v>1516</v>
      </c>
      <c r="O99" t="s">
        <v>193</v>
      </c>
      <c r="P99" t="s">
        <v>1517</v>
      </c>
      <c r="Q99" t="s">
        <v>41</v>
      </c>
      <c r="R99" t="s">
        <v>1365</v>
      </c>
    </row>
    <row r="100" spans="1:18">
      <c r="A100" t="s">
        <v>1382</v>
      </c>
      <c r="B100" t="s">
        <v>51</v>
      </c>
      <c r="C100">
        <v>4.8</v>
      </c>
      <c r="D100">
        <v>-1365</v>
      </c>
      <c r="E100" t="s">
        <v>18</v>
      </c>
      <c r="F100" t="s">
        <v>34</v>
      </c>
      <c r="G100" t="s">
        <v>381</v>
      </c>
      <c r="H100" t="s">
        <v>21</v>
      </c>
      <c r="I100" t="s">
        <v>60</v>
      </c>
      <c r="J100" t="s">
        <v>184</v>
      </c>
      <c r="K100" t="s">
        <v>678</v>
      </c>
      <c r="L100" t="s">
        <v>1518</v>
      </c>
      <c r="M100" t="s">
        <v>384</v>
      </c>
      <c r="N100" t="s">
        <v>385</v>
      </c>
      <c r="O100" t="s">
        <v>643</v>
      </c>
      <c r="P100" t="s">
        <v>386</v>
      </c>
      <c r="Q100" t="s">
        <v>18</v>
      </c>
      <c r="R100" t="s">
        <v>18</v>
      </c>
    </row>
    <row r="101" spans="1:18">
      <c r="A101" t="s">
        <v>1421</v>
      </c>
      <c r="B101" t="s">
        <v>1422</v>
      </c>
      <c r="C101">
        <v>4.8</v>
      </c>
      <c r="D101">
        <v>-398</v>
      </c>
      <c r="E101" t="s">
        <v>18</v>
      </c>
      <c r="F101" t="s">
        <v>34</v>
      </c>
      <c r="G101" t="s">
        <v>842</v>
      </c>
      <c r="H101" t="s">
        <v>21</v>
      </c>
      <c r="I101" t="s">
        <v>1424</v>
      </c>
      <c r="J101" t="s">
        <v>25</v>
      </c>
      <c r="K101" t="s">
        <v>1507</v>
      </c>
      <c r="L101" t="s">
        <v>1519</v>
      </c>
      <c r="M101" t="s">
        <v>28</v>
      </c>
      <c r="N101" t="s">
        <v>1520</v>
      </c>
      <c r="O101" t="s">
        <v>18</v>
      </c>
      <c r="P101" t="s">
        <v>18</v>
      </c>
      <c r="Q101" t="s">
        <v>18</v>
      </c>
      <c r="R101" t="s">
        <v>18</v>
      </c>
    </row>
    <row r="102" spans="1:18">
      <c r="A102" t="s">
        <v>1409</v>
      </c>
      <c r="B102" t="s">
        <v>1410</v>
      </c>
      <c r="C102">
        <v>4.7</v>
      </c>
      <c r="D102">
        <v>-614</v>
      </c>
      <c r="E102" t="s">
        <v>18</v>
      </c>
      <c r="F102" t="s">
        <v>34</v>
      </c>
      <c r="G102" t="s">
        <v>102</v>
      </c>
      <c r="H102" t="s">
        <v>21</v>
      </c>
      <c r="I102" t="s">
        <v>1412</v>
      </c>
      <c r="J102" t="s">
        <v>184</v>
      </c>
      <c r="K102" t="s">
        <v>1502</v>
      </c>
      <c r="L102" t="s">
        <v>1521</v>
      </c>
      <c r="M102" t="s">
        <v>28</v>
      </c>
      <c r="N102" t="s">
        <v>1522</v>
      </c>
      <c r="O102" t="s">
        <v>18</v>
      </c>
      <c r="P102" t="s">
        <v>18</v>
      </c>
      <c r="Q102" t="s">
        <v>18</v>
      </c>
      <c r="R102" t="s">
        <v>18</v>
      </c>
    </row>
    <row r="103" spans="1:18">
      <c r="A103" t="s">
        <v>1425</v>
      </c>
      <c r="B103" t="s">
        <v>1426</v>
      </c>
      <c r="C103">
        <v>4.5999999999999996</v>
      </c>
      <c r="D103">
        <v>-394</v>
      </c>
      <c r="E103" t="s">
        <v>21</v>
      </c>
      <c r="F103" t="s">
        <v>34</v>
      </c>
      <c r="G103" t="s">
        <v>102</v>
      </c>
      <c r="H103" t="s">
        <v>21</v>
      </c>
      <c r="I103" t="s">
        <v>1428</v>
      </c>
      <c r="J103" t="s">
        <v>184</v>
      </c>
      <c r="K103" t="s">
        <v>1523</v>
      </c>
      <c r="L103" t="s">
        <v>1524</v>
      </c>
      <c r="M103" t="s">
        <v>28</v>
      </c>
      <c r="N103" t="s">
        <v>1525</v>
      </c>
      <c r="O103" t="s">
        <v>18</v>
      </c>
      <c r="P103" t="s">
        <v>18</v>
      </c>
      <c r="Q103" t="s">
        <v>18</v>
      </c>
      <c r="R103" t="s">
        <v>18</v>
      </c>
    </row>
    <row r="104" spans="1:18">
      <c r="A104" t="s">
        <v>1417</v>
      </c>
      <c r="B104" t="s">
        <v>1418</v>
      </c>
      <c r="C104">
        <v>4.7</v>
      </c>
      <c r="D104">
        <v>-507</v>
      </c>
      <c r="E104" t="s">
        <v>21</v>
      </c>
      <c r="F104" t="s">
        <v>34</v>
      </c>
      <c r="G104" t="s">
        <v>87</v>
      </c>
      <c r="H104" t="s">
        <v>21</v>
      </c>
      <c r="I104" t="s">
        <v>1420</v>
      </c>
      <c r="J104" t="s">
        <v>25</v>
      </c>
      <c r="K104" t="s">
        <v>1526</v>
      </c>
      <c r="L104" t="s">
        <v>1527</v>
      </c>
      <c r="M104" t="s">
        <v>28</v>
      </c>
      <c r="N104" t="s">
        <v>1528</v>
      </c>
      <c r="O104" t="s">
        <v>39</v>
      </c>
      <c r="P104" t="s">
        <v>1529</v>
      </c>
      <c r="Q104" t="s">
        <v>18</v>
      </c>
      <c r="R104" t="s">
        <v>18</v>
      </c>
    </row>
    <row r="105" spans="1:18">
      <c r="A105" t="s">
        <v>1370</v>
      </c>
      <c r="B105" t="s">
        <v>1371</v>
      </c>
      <c r="C105">
        <v>4.5</v>
      </c>
      <c r="D105">
        <v>-2197</v>
      </c>
      <c r="E105" t="s">
        <v>21</v>
      </c>
      <c r="F105" t="s">
        <v>34</v>
      </c>
      <c r="G105" t="s">
        <v>842</v>
      </c>
      <c r="H105" t="s">
        <v>21</v>
      </c>
      <c r="I105" t="s">
        <v>21</v>
      </c>
      <c r="J105" t="s">
        <v>184</v>
      </c>
      <c r="K105" t="s">
        <v>243</v>
      </c>
      <c r="L105" t="s">
        <v>1530</v>
      </c>
      <c r="M105" t="s">
        <v>28</v>
      </c>
      <c r="N105" t="s">
        <v>1531</v>
      </c>
      <c r="O105" t="s">
        <v>193</v>
      </c>
      <c r="P105" t="s">
        <v>1532</v>
      </c>
      <c r="Q105" t="s">
        <v>41</v>
      </c>
      <c r="R105" t="s">
        <v>1373</v>
      </c>
    </row>
    <row r="106" spans="1:18">
      <c r="A106" t="s">
        <v>1437</v>
      </c>
      <c r="B106" t="s">
        <v>1438</v>
      </c>
      <c r="C106">
        <v>4.3</v>
      </c>
      <c r="D106">
        <v>-350</v>
      </c>
      <c r="E106" t="s">
        <v>18</v>
      </c>
      <c r="F106" t="s">
        <v>34</v>
      </c>
      <c r="G106" t="s">
        <v>1487</v>
      </c>
      <c r="H106" t="s">
        <v>21</v>
      </c>
      <c r="I106" t="s">
        <v>1440</v>
      </c>
      <c r="J106" t="s">
        <v>184</v>
      </c>
      <c r="K106" t="s">
        <v>1523</v>
      </c>
      <c r="L106" t="s">
        <v>1533</v>
      </c>
      <c r="M106" t="s">
        <v>28</v>
      </c>
      <c r="N106" t="s">
        <v>130</v>
      </c>
      <c r="O106" t="s">
        <v>193</v>
      </c>
      <c r="P106" t="s">
        <v>1534</v>
      </c>
      <c r="Q106" t="s">
        <v>18</v>
      </c>
      <c r="R106" t="s">
        <v>18</v>
      </c>
    </row>
    <row r="107" spans="1:18">
      <c r="A107" t="s">
        <v>1397</v>
      </c>
      <c r="B107" t="s">
        <v>1398</v>
      </c>
      <c r="C107">
        <v>4.8</v>
      </c>
      <c r="D107">
        <v>-882</v>
      </c>
      <c r="E107" t="s">
        <v>21</v>
      </c>
      <c r="F107" t="s">
        <v>1386</v>
      </c>
      <c r="G107" t="s">
        <v>102</v>
      </c>
      <c r="H107" t="s">
        <v>21</v>
      </c>
      <c r="I107" t="s">
        <v>1400</v>
      </c>
      <c r="J107" t="s">
        <v>184</v>
      </c>
      <c r="K107" t="s">
        <v>1535</v>
      </c>
      <c r="L107" t="s">
        <v>1536</v>
      </c>
      <c r="M107" t="s">
        <v>28</v>
      </c>
      <c r="N107" t="s">
        <v>1537</v>
      </c>
      <c r="O107" t="s">
        <v>193</v>
      </c>
      <c r="P107" t="s">
        <v>1538</v>
      </c>
      <c r="Q107" t="s">
        <v>18</v>
      </c>
      <c r="R107" t="s">
        <v>18</v>
      </c>
    </row>
    <row r="108" spans="1:18">
      <c r="A108" t="s">
        <v>1374</v>
      </c>
      <c r="B108" t="s">
        <v>1375</v>
      </c>
      <c r="C108">
        <v>4.5</v>
      </c>
      <c r="D108">
        <v>-2112</v>
      </c>
      <c r="E108" t="s">
        <v>21</v>
      </c>
      <c r="F108" t="s">
        <v>34</v>
      </c>
      <c r="G108" t="s">
        <v>1539</v>
      </c>
      <c r="H108" t="s">
        <v>21</v>
      </c>
      <c r="I108" t="s">
        <v>21</v>
      </c>
      <c r="J108" t="s">
        <v>184</v>
      </c>
      <c r="K108" t="s">
        <v>471</v>
      </c>
      <c r="L108" t="s">
        <v>1540</v>
      </c>
      <c r="M108" t="s">
        <v>28</v>
      </c>
      <c r="N108" t="s">
        <v>47</v>
      </c>
      <c r="O108" t="s">
        <v>193</v>
      </c>
      <c r="P108" t="s">
        <v>1541</v>
      </c>
      <c r="Q108" t="s">
        <v>41</v>
      </c>
      <c r="R108" t="s">
        <v>1377</v>
      </c>
    </row>
    <row r="109" spans="1:18">
      <c r="A109" t="s">
        <v>1452</v>
      </c>
      <c r="B109" t="s">
        <v>1453</v>
      </c>
      <c r="C109">
        <v>4.9000000000000004</v>
      </c>
      <c r="D109">
        <v>-271</v>
      </c>
      <c r="E109" t="s">
        <v>18</v>
      </c>
      <c r="F109" t="s">
        <v>34</v>
      </c>
      <c r="G109" t="s">
        <v>102</v>
      </c>
      <c r="H109" t="s">
        <v>21</v>
      </c>
      <c r="I109" t="s">
        <v>1455</v>
      </c>
      <c r="J109" t="s">
        <v>184</v>
      </c>
      <c r="K109" t="s">
        <v>1542</v>
      </c>
      <c r="L109" t="s">
        <v>1543</v>
      </c>
      <c r="M109" t="s">
        <v>28</v>
      </c>
      <c r="N109" t="s">
        <v>251</v>
      </c>
      <c r="O109" t="s">
        <v>1513</v>
      </c>
      <c r="P109" t="s">
        <v>1544</v>
      </c>
      <c r="Q109" t="s">
        <v>18</v>
      </c>
      <c r="R109" t="s">
        <v>18</v>
      </c>
    </row>
    <row r="110" spans="1:18">
      <c r="A110" t="s">
        <v>1384</v>
      </c>
      <c r="B110" t="s">
        <v>1385</v>
      </c>
      <c r="C110">
        <v>4.5</v>
      </c>
      <c r="D110">
        <v>-1201</v>
      </c>
      <c r="E110" t="s">
        <v>21</v>
      </c>
      <c r="F110" t="s">
        <v>1386</v>
      </c>
      <c r="G110" t="s">
        <v>1545</v>
      </c>
      <c r="H110" t="s">
        <v>21</v>
      </c>
      <c r="I110" t="s">
        <v>21</v>
      </c>
      <c r="J110" t="s">
        <v>184</v>
      </c>
      <c r="K110" t="s">
        <v>1546</v>
      </c>
      <c r="L110" t="s">
        <v>1547</v>
      </c>
      <c r="M110" t="s">
        <v>28</v>
      </c>
      <c r="N110" t="s">
        <v>1548</v>
      </c>
      <c r="O110" t="s">
        <v>193</v>
      </c>
      <c r="P110" t="s">
        <v>155</v>
      </c>
      <c r="Q110" t="s">
        <v>41</v>
      </c>
      <c r="R110" t="s">
        <v>1388</v>
      </c>
    </row>
    <row r="111" spans="1:18">
      <c r="A111" t="s">
        <v>1358</v>
      </c>
      <c r="B111" t="s">
        <v>1359</v>
      </c>
      <c r="C111">
        <v>4.5999999999999996</v>
      </c>
      <c r="D111">
        <v>-3201</v>
      </c>
      <c r="E111" t="s">
        <v>21</v>
      </c>
      <c r="F111" t="s">
        <v>22</v>
      </c>
      <c r="G111" t="s">
        <v>842</v>
      </c>
      <c r="H111" t="s">
        <v>21</v>
      </c>
      <c r="I111" t="s">
        <v>1361</v>
      </c>
      <c r="J111" t="s">
        <v>184</v>
      </c>
      <c r="K111" t="s">
        <v>304</v>
      </c>
      <c r="L111" t="s">
        <v>1549</v>
      </c>
      <c r="M111" t="s">
        <v>28</v>
      </c>
      <c r="N111" t="s">
        <v>322</v>
      </c>
      <c r="O111" t="s">
        <v>193</v>
      </c>
      <c r="P111" t="s">
        <v>70</v>
      </c>
      <c r="Q111" t="s">
        <v>18</v>
      </c>
      <c r="R111" t="s">
        <v>18</v>
      </c>
    </row>
    <row r="112" spans="1:18">
      <c r="A112" t="s">
        <v>1433</v>
      </c>
      <c r="B112" t="s">
        <v>1434</v>
      </c>
      <c r="C112">
        <v>4.7</v>
      </c>
      <c r="D112">
        <v>-358</v>
      </c>
      <c r="E112" t="s">
        <v>18</v>
      </c>
      <c r="F112" t="s">
        <v>34</v>
      </c>
      <c r="G112" t="s">
        <v>102</v>
      </c>
      <c r="H112" t="s">
        <v>21</v>
      </c>
      <c r="I112" t="s">
        <v>21</v>
      </c>
      <c r="J112" t="s">
        <v>184</v>
      </c>
      <c r="K112" t="s">
        <v>1502</v>
      </c>
      <c r="L112" t="s">
        <v>1550</v>
      </c>
      <c r="M112" t="s">
        <v>28</v>
      </c>
      <c r="N112" t="s">
        <v>130</v>
      </c>
      <c r="O112" t="s">
        <v>193</v>
      </c>
      <c r="P112" t="s">
        <v>1551</v>
      </c>
      <c r="Q112" t="s">
        <v>41</v>
      </c>
      <c r="R112" t="s">
        <v>1436</v>
      </c>
    </row>
    <row r="113" spans="1:18">
      <c r="A113" t="s">
        <v>1335</v>
      </c>
      <c r="B113" t="s">
        <v>1336</v>
      </c>
      <c r="C113">
        <v>4.3</v>
      </c>
      <c r="D113">
        <v>-12589</v>
      </c>
      <c r="E113" t="s">
        <v>21</v>
      </c>
      <c r="F113" t="s">
        <v>22</v>
      </c>
      <c r="G113" t="s">
        <v>102</v>
      </c>
      <c r="H113" t="s">
        <v>21</v>
      </c>
      <c r="I113" t="s">
        <v>21</v>
      </c>
      <c r="J113" t="s">
        <v>184</v>
      </c>
      <c r="K113" t="s">
        <v>1542</v>
      </c>
      <c r="L113" t="s">
        <v>1552</v>
      </c>
      <c r="M113" t="s">
        <v>28</v>
      </c>
      <c r="N113" t="s">
        <v>1553</v>
      </c>
      <c r="O113" t="s">
        <v>193</v>
      </c>
      <c r="P113" t="s">
        <v>1554</v>
      </c>
      <c r="Q113" t="s">
        <v>57</v>
      </c>
      <c r="R113" t="s">
        <v>1338</v>
      </c>
    </row>
    <row r="114" spans="1:18">
      <c r="A114" t="s">
        <v>1339</v>
      </c>
      <c r="B114" t="s">
        <v>1340</v>
      </c>
      <c r="C114">
        <v>4.9000000000000004</v>
      </c>
      <c r="D114">
        <v>-6702</v>
      </c>
      <c r="E114" t="s">
        <v>21</v>
      </c>
      <c r="F114" t="s">
        <v>34</v>
      </c>
      <c r="G114" t="s">
        <v>1555</v>
      </c>
      <c r="H114" t="s">
        <v>21</v>
      </c>
      <c r="I114" t="s">
        <v>21</v>
      </c>
      <c r="J114" t="s">
        <v>184</v>
      </c>
      <c r="K114" t="s">
        <v>1502</v>
      </c>
      <c r="L114" t="s">
        <v>1556</v>
      </c>
      <c r="M114" t="s">
        <v>28</v>
      </c>
      <c r="N114" t="s">
        <v>1557</v>
      </c>
      <c r="O114" t="s">
        <v>39</v>
      </c>
      <c r="P114" t="s">
        <v>1558</v>
      </c>
      <c r="Q114" t="s">
        <v>41</v>
      </c>
      <c r="R114" t="s">
        <v>1341</v>
      </c>
    </row>
    <row r="115" spans="1:18">
      <c r="A115" t="s">
        <v>1393</v>
      </c>
      <c r="B115" t="s">
        <v>1394</v>
      </c>
      <c r="C115">
        <v>4.5999999999999996</v>
      </c>
      <c r="D115">
        <v>-954</v>
      </c>
      <c r="E115" t="s">
        <v>21</v>
      </c>
      <c r="F115" t="s">
        <v>34</v>
      </c>
      <c r="G115" t="s">
        <v>102</v>
      </c>
      <c r="H115" t="s">
        <v>21</v>
      </c>
      <c r="I115" t="s">
        <v>21</v>
      </c>
      <c r="J115" t="s">
        <v>184</v>
      </c>
      <c r="K115" t="s">
        <v>1559</v>
      </c>
      <c r="L115" t="s">
        <v>1560</v>
      </c>
      <c r="M115" t="s">
        <v>28</v>
      </c>
      <c r="N115" t="s">
        <v>105</v>
      </c>
      <c r="O115" t="s">
        <v>193</v>
      </c>
      <c r="P115" t="s">
        <v>1561</v>
      </c>
      <c r="Q115" t="s">
        <v>41</v>
      </c>
      <c r="R115" t="s">
        <v>1396</v>
      </c>
    </row>
    <row r="116" spans="1:18">
      <c r="A116" t="s">
        <v>1366</v>
      </c>
      <c r="B116" t="s">
        <v>1367</v>
      </c>
      <c r="C116">
        <v>4.5</v>
      </c>
      <c r="D116">
        <v>-2353</v>
      </c>
      <c r="E116" t="s">
        <v>21</v>
      </c>
      <c r="F116" t="s">
        <v>34</v>
      </c>
      <c r="G116" t="s">
        <v>842</v>
      </c>
      <c r="H116" t="s">
        <v>21</v>
      </c>
      <c r="I116" t="s">
        <v>1369</v>
      </c>
      <c r="J116" t="s">
        <v>184</v>
      </c>
      <c r="K116" t="s">
        <v>471</v>
      </c>
      <c r="L116" t="s">
        <v>1562</v>
      </c>
      <c r="M116" t="s">
        <v>28</v>
      </c>
      <c r="N116" t="s">
        <v>105</v>
      </c>
      <c r="O116" t="s">
        <v>193</v>
      </c>
      <c r="P116" t="s">
        <v>1563</v>
      </c>
      <c r="Q116" t="s">
        <v>18</v>
      </c>
      <c r="R116" t="s">
        <v>18</v>
      </c>
    </row>
    <row r="117" spans="1:18">
      <c r="A117" t="s">
        <v>1441</v>
      </c>
      <c r="B117" t="s">
        <v>1442</v>
      </c>
      <c r="C117">
        <v>4.9000000000000004</v>
      </c>
      <c r="D117">
        <v>-333</v>
      </c>
      <c r="E117" t="s">
        <v>21</v>
      </c>
      <c r="F117" t="s">
        <v>22</v>
      </c>
      <c r="G117" t="s">
        <v>1555</v>
      </c>
      <c r="H117" t="s">
        <v>21</v>
      </c>
      <c r="I117" t="s">
        <v>1443</v>
      </c>
      <c r="J117" t="s">
        <v>25</v>
      </c>
      <c r="K117" t="s">
        <v>166</v>
      </c>
      <c r="L117" t="s">
        <v>1564</v>
      </c>
      <c r="M117" t="s">
        <v>28</v>
      </c>
      <c r="N117" t="s">
        <v>1565</v>
      </c>
      <c r="O117" t="s">
        <v>39</v>
      </c>
      <c r="P117" t="s">
        <v>1566</v>
      </c>
      <c r="Q117" t="s">
        <v>18</v>
      </c>
      <c r="R117" t="s">
        <v>18</v>
      </c>
    </row>
    <row r="118" spans="1:18">
      <c r="A118" t="s">
        <v>1456</v>
      </c>
      <c r="B118" t="s">
        <v>1457</v>
      </c>
      <c r="C118">
        <v>4.3</v>
      </c>
      <c r="D118">
        <v>-265</v>
      </c>
      <c r="E118" t="s">
        <v>18</v>
      </c>
      <c r="F118" t="s">
        <v>34</v>
      </c>
      <c r="G118" t="s">
        <v>255</v>
      </c>
      <c r="H118" t="s">
        <v>21</v>
      </c>
      <c r="I118" t="s">
        <v>21</v>
      </c>
      <c r="J118" t="s">
        <v>184</v>
      </c>
      <c r="K118" t="s">
        <v>1567</v>
      </c>
      <c r="L118" t="s">
        <v>1568</v>
      </c>
      <c r="M118" t="s">
        <v>28</v>
      </c>
      <c r="N118" t="s">
        <v>1569</v>
      </c>
      <c r="O118" t="s">
        <v>18</v>
      </c>
      <c r="P118" t="s">
        <v>18</v>
      </c>
      <c r="Q118" t="s">
        <v>57</v>
      </c>
      <c r="R118" t="s">
        <v>1459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2D9C-9AD0-4CC3-B567-429C1B882E7D}">
  <dimension ref="A1:H205"/>
  <sheetViews>
    <sheetView topLeftCell="B1" zoomScale="70" zoomScaleNormal="70" workbookViewId="0">
      <selection activeCell="B65" sqref="B65"/>
    </sheetView>
  </sheetViews>
  <sheetFormatPr defaultRowHeight="15"/>
  <cols>
    <col min="1" max="2" width="81.140625" bestFit="1" customWidth="1"/>
    <col min="3" max="3" width="14.42578125" bestFit="1" customWidth="1"/>
    <col min="4" max="4" width="16.42578125" bestFit="1" customWidth="1"/>
    <col min="5" max="5" width="23" bestFit="1" customWidth="1"/>
    <col min="6" max="6" width="27.7109375" bestFit="1" customWidth="1"/>
    <col min="7" max="7" width="58.85546875" bestFit="1" customWidth="1"/>
    <col min="8" max="8" width="27.140625" bestFit="1" customWidth="1"/>
    <col min="9" max="9" width="11" bestFit="1" customWidth="1"/>
    <col min="10" max="10" width="12.28515625" bestFit="1" customWidth="1"/>
    <col min="11" max="11" width="21.42578125" bestFit="1" customWidth="1"/>
    <col min="12" max="12" width="21.28515625" bestFit="1" customWidth="1"/>
    <col min="13" max="13" width="47.28515625" bestFit="1" customWidth="1"/>
    <col min="14" max="14" width="20.28515625" bestFit="1" customWidth="1"/>
  </cols>
  <sheetData>
    <row r="1" spans="1:8">
      <c r="A1" t="s">
        <v>1008</v>
      </c>
      <c r="B1" t="s">
        <v>1009</v>
      </c>
      <c r="C1" t="s">
        <v>1120</v>
      </c>
      <c r="D1" t="s">
        <v>1121</v>
      </c>
      <c r="E1" t="s">
        <v>1122</v>
      </c>
      <c r="F1" t="s">
        <v>1130</v>
      </c>
      <c r="G1" t="s">
        <v>1131</v>
      </c>
      <c r="H1" t="s">
        <v>1132</v>
      </c>
    </row>
    <row r="2" spans="1:8">
      <c r="A2" t="s">
        <v>19</v>
      </c>
      <c r="B2" t="s">
        <v>20</v>
      </c>
      <c r="C2">
        <v>10.7810504</v>
      </c>
      <c r="D2">
        <v>106.7061501</v>
      </c>
      <c r="E2" t="s">
        <v>1123</v>
      </c>
      <c r="F2" t="s">
        <v>1133</v>
      </c>
      <c r="G2" t="s">
        <v>1134</v>
      </c>
      <c r="H2" t="s">
        <v>1135</v>
      </c>
    </row>
    <row r="3" spans="1:8">
      <c r="A3" t="s">
        <v>32</v>
      </c>
      <c r="B3" t="s">
        <v>33</v>
      </c>
      <c r="C3">
        <v>10.7813151</v>
      </c>
      <c r="D3">
        <v>106.7055893</v>
      </c>
      <c r="E3" t="s">
        <v>1123</v>
      </c>
      <c r="F3" t="s">
        <v>1133</v>
      </c>
      <c r="G3" t="s">
        <v>1134</v>
      </c>
      <c r="H3" t="s">
        <v>1135</v>
      </c>
    </row>
    <row r="4" spans="1:8">
      <c r="A4" t="s">
        <v>43</v>
      </c>
      <c r="B4" t="s">
        <v>44</v>
      </c>
      <c r="C4">
        <v>10.785137499999999</v>
      </c>
      <c r="D4">
        <v>106.6999919</v>
      </c>
      <c r="E4" t="s">
        <v>1123</v>
      </c>
      <c r="F4" t="s">
        <v>1133</v>
      </c>
      <c r="G4" t="s">
        <v>1134</v>
      </c>
      <c r="H4" t="s">
        <v>1135</v>
      </c>
    </row>
    <row r="5" spans="1:8">
      <c r="A5" t="s">
        <v>50</v>
      </c>
      <c r="B5" t="s">
        <v>51</v>
      </c>
      <c r="C5">
        <v>10.7733531</v>
      </c>
      <c r="D5">
        <v>106.7038615</v>
      </c>
      <c r="E5" t="s">
        <v>1123</v>
      </c>
      <c r="F5" t="s">
        <v>1133</v>
      </c>
      <c r="G5" t="s">
        <v>1134</v>
      </c>
      <c r="H5" t="s">
        <v>1135</v>
      </c>
    </row>
    <row r="6" spans="1:8">
      <c r="A6" t="s">
        <v>59</v>
      </c>
      <c r="B6" t="s">
        <v>51</v>
      </c>
      <c r="C6">
        <v>10.7844192</v>
      </c>
      <c r="D6">
        <v>106.6977993</v>
      </c>
      <c r="E6" t="s">
        <v>1123</v>
      </c>
      <c r="F6" t="s">
        <v>1133</v>
      </c>
      <c r="G6" t="s">
        <v>1134</v>
      </c>
      <c r="H6" t="s">
        <v>1135</v>
      </c>
    </row>
    <row r="7" spans="1:8">
      <c r="A7" t="s">
        <v>64</v>
      </c>
      <c r="B7" t="s">
        <v>65</v>
      </c>
      <c r="C7">
        <v>10.774103</v>
      </c>
      <c r="D7">
        <v>106.7041327</v>
      </c>
      <c r="E7" t="s">
        <v>1123</v>
      </c>
      <c r="F7" t="s">
        <v>1133</v>
      </c>
      <c r="G7" t="s">
        <v>1134</v>
      </c>
      <c r="H7" t="s">
        <v>1135</v>
      </c>
    </row>
    <row r="8" spans="1:8">
      <c r="A8" t="s">
        <v>71</v>
      </c>
      <c r="B8" t="s">
        <v>72</v>
      </c>
      <c r="C8">
        <v>10.778430999999999</v>
      </c>
      <c r="D8">
        <v>106.699046</v>
      </c>
      <c r="E8" t="s">
        <v>1123</v>
      </c>
      <c r="F8" t="s">
        <v>1133</v>
      </c>
      <c r="G8" t="s">
        <v>1134</v>
      </c>
      <c r="H8" t="s">
        <v>1135</v>
      </c>
    </row>
    <row r="9" spans="1:8">
      <c r="A9" t="s">
        <v>79</v>
      </c>
      <c r="B9" t="s">
        <v>80</v>
      </c>
      <c r="C9">
        <v>10.793559</v>
      </c>
      <c r="D9">
        <v>106.686756</v>
      </c>
      <c r="E9" t="s">
        <v>1123</v>
      </c>
      <c r="F9" t="s">
        <v>1133</v>
      </c>
      <c r="G9" t="s">
        <v>1134</v>
      </c>
      <c r="H9" t="s">
        <v>1135</v>
      </c>
    </row>
    <row r="10" spans="1:8">
      <c r="A10" t="s">
        <v>85</v>
      </c>
      <c r="B10" t="s">
        <v>86</v>
      </c>
      <c r="C10">
        <v>10.7741206</v>
      </c>
      <c r="D10">
        <v>106.6975015</v>
      </c>
      <c r="E10" t="s">
        <v>1123</v>
      </c>
      <c r="F10" t="s">
        <v>1133</v>
      </c>
      <c r="G10" t="s">
        <v>1134</v>
      </c>
      <c r="H10" t="s">
        <v>1135</v>
      </c>
    </row>
    <row r="11" spans="1:8">
      <c r="A11" t="s">
        <v>92</v>
      </c>
      <c r="B11" t="s">
        <v>93</v>
      </c>
      <c r="C11">
        <v>10.7886858</v>
      </c>
      <c r="D11">
        <v>106.7087982</v>
      </c>
      <c r="E11" t="s">
        <v>1124</v>
      </c>
      <c r="F11" t="s">
        <v>1133</v>
      </c>
      <c r="G11" t="s">
        <v>1136</v>
      </c>
      <c r="H11" t="s">
        <v>1135</v>
      </c>
    </row>
    <row r="12" spans="1:8">
      <c r="A12" t="s">
        <v>100</v>
      </c>
      <c r="B12" t="s">
        <v>101</v>
      </c>
      <c r="C12">
        <v>10.790118</v>
      </c>
      <c r="D12">
        <v>106.7112413</v>
      </c>
      <c r="E12" t="s">
        <v>1124</v>
      </c>
      <c r="F12" t="s">
        <v>1133</v>
      </c>
      <c r="G12" t="s">
        <v>1136</v>
      </c>
      <c r="H12" t="s">
        <v>1135</v>
      </c>
    </row>
    <row r="13" spans="1:8">
      <c r="A13" t="s">
        <v>107</v>
      </c>
      <c r="B13" t="s">
        <v>108</v>
      </c>
      <c r="C13">
        <v>10.788874099999999</v>
      </c>
      <c r="D13">
        <v>106.6916512</v>
      </c>
      <c r="E13" t="s">
        <v>1123</v>
      </c>
      <c r="F13" t="s">
        <v>1133</v>
      </c>
      <c r="G13" t="s">
        <v>1134</v>
      </c>
      <c r="H13" t="s">
        <v>1135</v>
      </c>
    </row>
    <row r="14" spans="1:8">
      <c r="A14" t="s">
        <v>113</v>
      </c>
      <c r="B14" t="s">
        <v>114</v>
      </c>
      <c r="C14">
        <v>10.7890301</v>
      </c>
      <c r="D14">
        <v>106.6908913</v>
      </c>
      <c r="E14" t="s">
        <v>1123</v>
      </c>
      <c r="F14" t="s">
        <v>1133</v>
      </c>
      <c r="G14" t="s">
        <v>1134</v>
      </c>
      <c r="H14" t="s">
        <v>1135</v>
      </c>
    </row>
    <row r="15" spans="1:8">
      <c r="A15" t="s">
        <v>118</v>
      </c>
      <c r="B15" t="s">
        <v>119</v>
      </c>
      <c r="C15">
        <v>10.778611400000001</v>
      </c>
      <c r="D15">
        <v>106.6920676</v>
      </c>
      <c r="E15" t="s">
        <v>1125</v>
      </c>
      <c r="F15" t="s">
        <v>1133</v>
      </c>
      <c r="G15" t="s">
        <v>1137</v>
      </c>
      <c r="H15" t="s">
        <v>1135</v>
      </c>
    </row>
    <row r="16" spans="1:8">
      <c r="A16" t="s">
        <v>124</v>
      </c>
      <c r="B16" t="s">
        <v>125</v>
      </c>
      <c r="C16">
        <v>10.7842945</v>
      </c>
      <c r="D16">
        <v>106.7057539</v>
      </c>
      <c r="E16" t="s">
        <v>1123</v>
      </c>
      <c r="F16" t="s">
        <v>1133</v>
      </c>
      <c r="G16" t="s">
        <v>1134</v>
      </c>
      <c r="H16" t="s">
        <v>1135</v>
      </c>
    </row>
    <row r="17" spans="1:8">
      <c r="A17" t="s">
        <v>133</v>
      </c>
      <c r="B17" t="s">
        <v>134</v>
      </c>
      <c r="C17">
        <v>10.7863279</v>
      </c>
      <c r="D17">
        <v>106.6946945</v>
      </c>
      <c r="E17" t="s">
        <v>1123</v>
      </c>
      <c r="F17" t="s">
        <v>1133</v>
      </c>
      <c r="G17" t="s">
        <v>1134</v>
      </c>
      <c r="H17" t="s">
        <v>1135</v>
      </c>
    </row>
    <row r="18" spans="1:8">
      <c r="A18" t="s">
        <v>140</v>
      </c>
      <c r="B18" t="s">
        <v>141</v>
      </c>
      <c r="C18">
        <v>10.7797526</v>
      </c>
      <c r="D18">
        <v>106.6855053</v>
      </c>
      <c r="E18" t="s">
        <v>1125</v>
      </c>
      <c r="F18" t="s">
        <v>1133</v>
      </c>
      <c r="G18" t="s">
        <v>1137</v>
      </c>
      <c r="H18" t="s">
        <v>1135</v>
      </c>
    </row>
    <row r="19" spans="1:8">
      <c r="A19" t="s">
        <v>146</v>
      </c>
      <c r="B19" t="s">
        <v>147</v>
      </c>
      <c r="C19">
        <v>10.7890657</v>
      </c>
      <c r="D19">
        <v>106.6921263</v>
      </c>
      <c r="E19" t="s">
        <v>1125</v>
      </c>
      <c r="F19" t="s">
        <v>1138</v>
      </c>
      <c r="G19" t="s">
        <v>1139</v>
      </c>
      <c r="H19" t="s">
        <v>1135</v>
      </c>
    </row>
    <row r="20" spans="1:8">
      <c r="A20" t="s">
        <v>151</v>
      </c>
      <c r="B20" t="s">
        <v>152</v>
      </c>
      <c r="C20">
        <v>10.7795135</v>
      </c>
      <c r="D20">
        <v>106.7026522</v>
      </c>
      <c r="E20" t="s">
        <v>1123</v>
      </c>
      <c r="F20" t="s">
        <v>1133</v>
      </c>
      <c r="G20" t="s">
        <v>1134</v>
      </c>
      <c r="H20" t="s">
        <v>1135</v>
      </c>
    </row>
    <row r="21" spans="1:8">
      <c r="A21" t="s">
        <v>157</v>
      </c>
      <c r="B21" t="s">
        <v>158</v>
      </c>
      <c r="C21">
        <v>10.7753458</v>
      </c>
      <c r="D21">
        <v>106.70291810000001</v>
      </c>
      <c r="E21" t="s">
        <v>1123</v>
      </c>
      <c r="F21" t="s">
        <v>1133</v>
      </c>
      <c r="G21" t="s">
        <v>1134</v>
      </c>
      <c r="H21" t="s">
        <v>1135</v>
      </c>
    </row>
    <row r="22" spans="1:8">
      <c r="A22" t="s">
        <v>163</v>
      </c>
      <c r="B22" t="s">
        <v>164</v>
      </c>
      <c r="C22">
        <v>10.778862800000001</v>
      </c>
      <c r="D22">
        <v>106.6920523</v>
      </c>
      <c r="E22" t="s">
        <v>1125</v>
      </c>
      <c r="F22" t="s">
        <v>1133</v>
      </c>
      <c r="G22" t="s">
        <v>1137</v>
      </c>
      <c r="H22" t="s">
        <v>1135</v>
      </c>
    </row>
    <row r="23" spans="1:8">
      <c r="A23" t="s">
        <v>170</v>
      </c>
      <c r="B23" t="s">
        <v>171</v>
      </c>
      <c r="C23">
        <v>10.786214599999999</v>
      </c>
      <c r="D23">
        <v>106.70115509999999</v>
      </c>
      <c r="E23" t="s">
        <v>1123</v>
      </c>
      <c r="F23" t="s">
        <v>1133</v>
      </c>
      <c r="G23" t="s">
        <v>1134</v>
      </c>
      <c r="H23" t="s">
        <v>1135</v>
      </c>
    </row>
    <row r="24" spans="1:8">
      <c r="A24" t="s">
        <v>176</v>
      </c>
      <c r="B24" t="s">
        <v>177</v>
      </c>
      <c r="C24">
        <v>10.7781582</v>
      </c>
      <c r="D24">
        <v>106.69065999999999</v>
      </c>
      <c r="E24" t="s">
        <v>1125</v>
      </c>
      <c r="F24" t="s">
        <v>1133</v>
      </c>
      <c r="G24" t="s">
        <v>1137</v>
      </c>
      <c r="H24" t="s">
        <v>1135</v>
      </c>
    </row>
    <row r="25" spans="1:8">
      <c r="A25" t="s">
        <v>181</v>
      </c>
      <c r="B25" t="s">
        <v>182</v>
      </c>
      <c r="C25">
        <v>10.7914651</v>
      </c>
      <c r="D25">
        <v>106.70489860000001</v>
      </c>
      <c r="E25" t="s">
        <v>1124</v>
      </c>
      <c r="F25" t="s">
        <v>1138</v>
      </c>
      <c r="G25" t="s">
        <v>1140</v>
      </c>
      <c r="H25" t="s">
        <v>1135</v>
      </c>
    </row>
    <row r="26" spans="1:8">
      <c r="A26" t="s">
        <v>188</v>
      </c>
      <c r="B26" t="s">
        <v>189</v>
      </c>
      <c r="C26">
        <v>10.7721026</v>
      </c>
      <c r="D26">
        <v>106.6941655</v>
      </c>
      <c r="E26" t="s">
        <v>1123</v>
      </c>
      <c r="F26" t="s">
        <v>1133</v>
      </c>
      <c r="G26" t="s">
        <v>1134</v>
      </c>
      <c r="H26" t="s">
        <v>1135</v>
      </c>
    </row>
    <row r="27" spans="1:8">
      <c r="A27" t="s">
        <v>195</v>
      </c>
      <c r="B27" t="s">
        <v>196</v>
      </c>
      <c r="C27">
        <v>10.774217999999999</v>
      </c>
      <c r="D27">
        <v>106.69660589999999</v>
      </c>
      <c r="E27" t="s">
        <v>1123</v>
      </c>
      <c r="F27" t="s">
        <v>1133</v>
      </c>
      <c r="G27" t="s">
        <v>1134</v>
      </c>
      <c r="H27" t="s">
        <v>1135</v>
      </c>
    </row>
    <row r="28" spans="1:8">
      <c r="A28" t="s">
        <v>200</v>
      </c>
      <c r="B28" t="s">
        <v>201</v>
      </c>
      <c r="C28">
        <v>10.786464</v>
      </c>
      <c r="D28">
        <v>106.694317</v>
      </c>
      <c r="E28" t="s">
        <v>1123</v>
      </c>
      <c r="F28" t="s">
        <v>1138</v>
      </c>
      <c r="G28" t="s">
        <v>1141</v>
      </c>
      <c r="H28" t="s">
        <v>1135</v>
      </c>
    </row>
    <row r="29" spans="1:8">
      <c r="A29" t="s">
        <v>205</v>
      </c>
      <c r="B29" t="s">
        <v>206</v>
      </c>
      <c r="C29">
        <v>10.787003</v>
      </c>
      <c r="D29">
        <v>106.6923163</v>
      </c>
      <c r="E29" t="s">
        <v>1125</v>
      </c>
      <c r="F29" t="s">
        <v>1133</v>
      </c>
      <c r="G29" t="s">
        <v>1137</v>
      </c>
      <c r="H29" t="s">
        <v>1135</v>
      </c>
    </row>
    <row r="30" spans="1:8">
      <c r="A30" t="s">
        <v>211</v>
      </c>
      <c r="B30" t="s">
        <v>212</v>
      </c>
      <c r="C30">
        <v>10.7753458</v>
      </c>
      <c r="D30">
        <v>106.6902814</v>
      </c>
      <c r="E30" t="s">
        <v>1125</v>
      </c>
      <c r="F30" t="s">
        <v>1133</v>
      </c>
      <c r="G30" t="s">
        <v>1137</v>
      </c>
      <c r="H30" t="s">
        <v>1135</v>
      </c>
    </row>
    <row r="31" spans="1:8">
      <c r="A31" t="s">
        <v>217</v>
      </c>
      <c r="B31" t="s">
        <v>218</v>
      </c>
      <c r="C31">
        <v>10.771664299999999</v>
      </c>
      <c r="D31">
        <v>106.6950738</v>
      </c>
      <c r="E31" t="s">
        <v>1123</v>
      </c>
      <c r="F31" t="s">
        <v>1133</v>
      </c>
      <c r="G31" t="s">
        <v>1134</v>
      </c>
      <c r="H31" t="s">
        <v>1135</v>
      </c>
    </row>
    <row r="32" spans="1:8">
      <c r="A32" t="s">
        <v>222</v>
      </c>
      <c r="B32" t="s">
        <v>223</v>
      </c>
      <c r="C32">
        <v>10.7898785</v>
      </c>
      <c r="D32">
        <v>106.7109045</v>
      </c>
      <c r="E32" t="s">
        <v>1124</v>
      </c>
      <c r="F32" t="s">
        <v>1133</v>
      </c>
      <c r="G32" t="s">
        <v>1136</v>
      </c>
      <c r="H32" t="s">
        <v>1135</v>
      </c>
    </row>
    <row r="33" spans="1:8">
      <c r="A33" t="s">
        <v>228</v>
      </c>
      <c r="B33" t="s">
        <v>229</v>
      </c>
      <c r="C33">
        <v>10.791975000000001</v>
      </c>
      <c r="D33">
        <v>106.6983939</v>
      </c>
      <c r="E33" t="s">
        <v>1123</v>
      </c>
      <c r="F33" t="s">
        <v>1133</v>
      </c>
      <c r="G33" t="s">
        <v>1134</v>
      </c>
      <c r="H33" t="s">
        <v>1135</v>
      </c>
    </row>
    <row r="34" spans="1:8">
      <c r="A34" t="s">
        <v>233</v>
      </c>
      <c r="B34" t="s">
        <v>234</v>
      </c>
      <c r="C34">
        <v>10.790021299999999</v>
      </c>
      <c r="D34">
        <v>106.6794503</v>
      </c>
      <c r="E34" t="s">
        <v>1125</v>
      </c>
      <c r="F34" t="s">
        <v>1133</v>
      </c>
      <c r="G34" t="s">
        <v>1137</v>
      </c>
      <c r="H34" t="s">
        <v>1135</v>
      </c>
    </row>
    <row r="35" spans="1:8">
      <c r="A35" t="s">
        <v>240</v>
      </c>
      <c r="B35" t="s">
        <v>241</v>
      </c>
      <c r="C35">
        <v>10.795722700000001</v>
      </c>
      <c r="D35">
        <v>106.6708338</v>
      </c>
      <c r="E35" t="s">
        <v>1126</v>
      </c>
      <c r="F35" t="s">
        <v>1142</v>
      </c>
      <c r="G35" t="s">
        <v>1143</v>
      </c>
      <c r="H35" t="s">
        <v>1144</v>
      </c>
    </row>
    <row r="36" spans="1:8">
      <c r="A36" t="s">
        <v>247</v>
      </c>
      <c r="B36" t="s">
        <v>248</v>
      </c>
      <c r="C36">
        <v>10.780178599999999</v>
      </c>
      <c r="D36">
        <v>106.70380710000001</v>
      </c>
      <c r="E36" t="s">
        <v>1123</v>
      </c>
      <c r="F36" t="s">
        <v>1133</v>
      </c>
      <c r="G36" t="s">
        <v>1134</v>
      </c>
      <c r="H36" t="s">
        <v>1135</v>
      </c>
    </row>
    <row r="37" spans="1:8">
      <c r="A37" t="s">
        <v>253</v>
      </c>
      <c r="B37" t="s">
        <v>254</v>
      </c>
      <c r="C37">
        <v>10.7719456</v>
      </c>
      <c r="D37">
        <v>106.6939273</v>
      </c>
      <c r="E37" t="s">
        <v>1123</v>
      </c>
      <c r="F37" t="s">
        <v>1133</v>
      </c>
      <c r="G37" t="s">
        <v>1134</v>
      </c>
      <c r="H37" t="s">
        <v>1135</v>
      </c>
    </row>
    <row r="38" spans="1:8">
      <c r="A38" t="s">
        <v>260</v>
      </c>
      <c r="B38" t="s">
        <v>261</v>
      </c>
      <c r="C38">
        <v>10.788380399999999</v>
      </c>
      <c r="D38">
        <v>106.6974632</v>
      </c>
      <c r="E38" t="s">
        <v>1123</v>
      </c>
      <c r="F38" t="s">
        <v>1133</v>
      </c>
      <c r="G38" t="s">
        <v>1134</v>
      </c>
      <c r="H38" t="s">
        <v>1135</v>
      </c>
    </row>
    <row r="39" spans="1:8">
      <c r="A39" t="s">
        <v>267</v>
      </c>
      <c r="B39" t="s">
        <v>268</v>
      </c>
      <c r="C39">
        <v>10.783830500000001</v>
      </c>
      <c r="D39">
        <v>106.7053702</v>
      </c>
      <c r="E39" t="s">
        <v>1123</v>
      </c>
      <c r="F39" t="s">
        <v>1133</v>
      </c>
      <c r="G39" t="s">
        <v>1134</v>
      </c>
      <c r="H39" t="s">
        <v>1135</v>
      </c>
    </row>
    <row r="40" spans="1:8">
      <c r="A40" t="s">
        <v>273</v>
      </c>
      <c r="B40" t="s">
        <v>274</v>
      </c>
      <c r="C40">
        <v>10.784770999999999</v>
      </c>
      <c r="D40">
        <v>106.7003131</v>
      </c>
      <c r="E40" t="s">
        <v>1123</v>
      </c>
      <c r="F40" t="s">
        <v>1133</v>
      </c>
      <c r="G40" t="s">
        <v>1134</v>
      </c>
      <c r="H40" t="s">
        <v>1135</v>
      </c>
    </row>
    <row r="41" spans="1:8">
      <c r="A41" t="s">
        <v>279</v>
      </c>
      <c r="B41" t="s">
        <v>280</v>
      </c>
      <c r="C41">
        <v>10.775088500000001</v>
      </c>
      <c r="D41">
        <v>106.7037454</v>
      </c>
      <c r="E41" t="s">
        <v>1123</v>
      </c>
      <c r="F41" t="s">
        <v>1133</v>
      </c>
      <c r="G41" t="s">
        <v>1134</v>
      </c>
      <c r="H41" t="s">
        <v>1135</v>
      </c>
    </row>
    <row r="42" spans="1:8">
      <c r="A42" t="s">
        <v>285</v>
      </c>
      <c r="B42" t="s">
        <v>286</v>
      </c>
      <c r="C42">
        <v>10.794143999999999</v>
      </c>
      <c r="D42">
        <v>106.6986019</v>
      </c>
      <c r="E42" t="s">
        <v>1126</v>
      </c>
      <c r="F42" t="s">
        <v>1142</v>
      </c>
      <c r="G42" t="s">
        <v>1145</v>
      </c>
      <c r="H42" t="s">
        <v>1144</v>
      </c>
    </row>
    <row r="43" spans="1:8">
      <c r="A43" t="s">
        <v>290</v>
      </c>
      <c r="B43" t="s">
        <v>291</v>
      </c>
      <c r="C43">
        <v>10.7926717</v>
      </c>
      <c r="D43">
        <v>106.6881952</v>
      </c>
      <c r="E43" t="s">
        <v>1123</v>
      </c>
      <c r="F43" t="s">
        <v>1133</v>
      </c>
      <c r="G43" t="s">
        <v>1134</v>
      </c>
      <c r="H43" t="s">
        <v>1135</v>
      </c>
    </row>
    <row r="44" spans="1:8">
      <c r="A44" t="s">
        <v>296</v>
      </c>
      <c r="B44" t="s">
        <v>297</v>
      </c>
      <c r="C44">
        <v>10.792303799999999</v>
      </c>
      <c r="D44">
        <v>106.680166</v>
      </c>
      <c r="E44" t="s">
        <v>1126</v>
      </c>
      <c r="F44" t="s">
        <v>1142</v>
      </c>
      <c r="G44" t="s">
        <v>1143</v>
      </c>
      <c r="H44" t="s">
        <v>1144</v>
      </c>
    </row>
    <row r="45" spans="1:8">
      <c r="A45" t="s">
        <v>301</v>
      </c>
      <c r="B45" t="s">
        <v>302</v>
      </c>
      <c r="C45">
        <v>10.7868864</v>
      </c>
      <c r="D45">
        <v>106.6922142</v>
      </c>
      <c r="E45" t="s">
        <v>1125</v>
      </c>
      <c r="F45" t="s">
        <v>1133</v>
      </c>
      <c r="G45" t="s">
        <v>1137</v>
      </c>
      <c r="H45" t="s">
        <v>1135</v>
      </c>
    </row>
    <row r="46" spans="1:8">
      <c r="A46" t="s">
        <v>307</v>
      </c>
      <c r="B46" t="s">
        <v>308</v>
      </c>
      <c r="C46">
        <v>10.787003</v>
      </c>
      <c r="D46">
        <v>106.6923163</v>
      </c>
      <c r="E46" t="s">
        <v>1125</v>
      </c>
      <c r="F46" t="s">
        <v>1133</v>
      </c>
      <c r="G46" t="s">
        <v>1137</v>
      </c>
      <c r="H46" t="s">
        <v>1135</v>
      </c>
    </row>
    <row r="47" spans="1:8">
      <c r="A47" t="s">
        <v>312</v>
      </c>
      <c r="B47" t="s">
        <v>313</v>
      </c>
      <c r="C47">
        <v>10.7883672</v>
      </c>
      <c r="D47">
        <v>106.69745020000001</v>
      </c>
      <c r="E47" t="s">
        <v>1123</v>
      </c>
      <c r="F47" t="s">
        <v>1133</v>
      </c>
      <c r="G47" t="s">
        <v>1134</v>
      </c>
      <c r="H47" t="s">
        <v>1135</v>
      </c>
    </row>
    <row r="48" spans="1:8">
      <c r="A48" t="s">
        <v>318</v>
      </c>
      <c r="B48" t="s">
        <v>319</v>
      </c>
      <c r="C48">
        <v>10.792312000000001</v>
      </c>
      <c r="D48">
        <v>106.69767299999999</v>
      </c>
      <c r="E48" t="s">
        <v>1123</v>
      </c>
      <c r="F48" t="s">
        <v>1133</v>
      </c>
      <c r="G48" t="s">
        <v>1134</v>
      </c>
      <c r="H48" t="s">
        <v>1135</v>
      </c>
    </row>
    <row r="49" spans="1:8">
      <c r="A49" t="s">
        <v>325</v>
      </c>
      <c r="B49" t="s">
        <v>326</v>
      </c>
      <c r="C49">
        <v>10.784485800000001</v>
      </c>
      <c r="D49">
        <v>106.6975065</v>
      </c>
      <c r="E49" t="s">
        <v>1123</v>
      </c>
      <c r="F49" t="s">
        <v>1133</v>
      </c>
      <c r="G49" t="s">
        <v>1134</v>
      </c>
      <c r="H49" t="s">
        <v>1135</v>
      </c>
    </row>
    <row r="50" spans="1:8">
      <c r="A50" t="s">
        <v>330</v>
      </c>
      <c r="B50" t="s">
        <v>331</v>
      </c>
      <c r="C50">
        <v>10.795483000000001</v>
      </c>
      <c r="D50">
        <v>106.71013790000001</v>
      </c>
      <c r="E50" t="s">
        <v>1124</v>
      </c>
      <c r="F50" t="s">
        <v>1133</v>
      </c>
      <c r="G50" t="s">
        <v>1136</v>
      </c>
      <c r="H50" t="s">
        <v>1135</v>
      </c>
    </row>
    <row r="51" spans="1:8">
      <c r="A51" t="s">
        <v>335</v>
      </c>
      <c r="B51" t="s">
        <v>336</v>
      </c>
      <c r="C51">
        <v>10.7926748</v>
      </c>
      <c r="D51">
        <v>106.69113609999999</v>
      </c>
      <c r="E51" t="s">
        <v>1123</v>
      </c>
      <c r="F51" t="s">
        <v>1133</v>
      </c>
      <c r="G51" t="s">
        <v>1134</v>
      </c>
      <c r="H51" t="s">
        <v>1135</v>
      </c>
    </row>
    <row r="52" spans="1:8">
      <c r="A52" t="s">
        <v>341</v>
      </c>
      <c r="B52" t="s">
        <v>342</v>
      </c>
      <c r="C52">
        <v>10.7787053</v>
      </c>
      <c r="D52">
        <v>106.6885592</v>
      </c>
      <c r="E52" t="s">
        <v>1125</v>
      </c>
      <c r="F52" t="s">
        <v>1133</v>
      </c>
      <c r="G52" t="s">
        <v>1137</v>
      </c>
      <c r="H52" t="s">
        <v>1135</v>
      </c>
    </row>
    <row r="53" spans="1:8">
      <c r="A53" t="s">
        <v>346</v>
      </c>
      <c r="B53" t="s">
        <v>347</v>
      </c>
      <c r="C53">
        <v>10.786441399999999</v>
      </c>
      <c r="D53">
        <v>106.6923565</v>
      </c>
      <c r="E53" t="s">
        <v>1125</v>
      </c>
      <c r="F53" t="s">
        <v>1133</v>
      </c>
      <c r="G53" t="s">
        <v>1137</v>
      </c>
      <c r="H53" t="s">
        <v>1135</v>
      </c>
    </row>
    <row r="54" spans="1:8">
      <c r="A54" t="s">
        <v>351</v>
      </c>
      <c r="B54" t="s">
        <v>352</v>
      </c>
      <c r="C54">
        <v>10.7889806</v>
      </c>
      <c r="D54">
        <v>106.69825830000001</v>
      </c>
      <c r="E54" t="s">
        <v>1123</v>
      </c>
      <c r="F54" t="s">
        <v>1133</v>
      </c>
      <c r="G54" t="s">
        <v>1134</v>
      </c>
      <c r="H54" t="s">
        <v>1135</v>
      </c>
    </row>
    <row r="55" spans="1:8">
      <c r="A55" t="s">
        <v>356</v>
      </c>
      <c r="B55" t="s">
        <v>357</v>
      </c>
      <c r="C55">
        <v>10.770252899999999</v>
      </c>
      <c r="D55">
        <v>106.70203480000001</v>
      </c>
      <c r="E55" t="s">
        <v>1123</v>
      </c>
      <c r="F55" t="s">
        <v>1133</v>
      </c>
      <c r="G55" t="s">
        <v>1134</v>
      </c>
      <c r="H55" t="s">
        <v>1135</v>
      </c>
    </row>
    <row r="56" spans="1:8">
      <c r="A56" t="s">
        <v>361</v>
      </c>
      <c r="B56" t="s">
        <v>362</v>
      </c>
      <c r="C56">
        <v>10.775721600000001</v>
      </c>
      <c r="D56">
        <v>106.6747094</v>
      </c>
      <c r="E56" t="s">
        <v>1125</v>
      </c>
      <c r="F56" t="s">
        <v>1133</v>
      </c>
      <c r="G56" t="s">
        <v>1137</v>
      </c>
      <c r="H56" t="s">
        <v>1135</v>
      </c>
    </row>
    <row r="57" spans="1:8">
      <c r="A57" t="s">
        <v>367</v>
      </c>
      <c r="B57" t="s">
        <v>368</v>
      </c>
      <c r="C57">
        <v>10.78609</v>
      </c>
      <c r="D57">
        <v>106.671357</v>
      </c>
      <c r="E57" t="s">
        <v>1125</v>
      </c>
      <c r="F57" t="s">
        <v>1133</v>
      </c>
      <c r="G57" t="s">
        <v>1137</v>
      </c>
      <c r="H57" t="s">
        <v>1135</v>
      </c>
    </row>
    <row r="58" spans="1:8">
      <c r="A58" t="s">
        <v>373</v>
      </c>
      <c r="B58" t="s">
        <v>374</v>
      </c>
      <c r="C58">
        <v>10.7904546</v>
      </c>
      <c r="D58">
        <v>106.6826408</v>
      </c>
      <c r="E58" t="s">
        <v>1125</v>
      </c>
      <c r="F58" t="s">
        <v>1133</v>
      </c>
      <c r="G58" t="s">
        <v>1137</v>
      </c>
      <c r="H58" t="s">
        <v>1135</v>
      </c>
    </row>
    <row r="59" spans="1:8">
      <c r="A59" t="s">
        <v>379</v>
      </c>
      <c r="B59" t="s">
        <v>380</v>
      </c>
      <c r="C59">
        <v>10.808991000000001</v>
      </c>
      <c r="D59">
        <v>106.753609</v>
      </c>
      <c r="E59" t="s">
        <v>1127</v>
      </c>
      <c r="F59" t="s">
        <v>1133</v>
      </c>
      <c r="G59" t="s">
        <v>1146</v>
      </c>
      <c r="H59" t="s">
        <v>1135</v>
      </c>
    </row>
    <row r="60" spans="1:8">
      <c r="A60" t="s">
        <v>387</v>
      </c>
      <c r="B60" t="s">
        <v>388</v>
      </c>
      <c r="C60">
        <v>10.778468</v>
      </c>
      <c r="D60">
        <v>106.69877200000001</v>
      </c>
      <c r="E60" t="s">
        <v>1123</v>
      </c>
      <c r="F60" t="s">
        <v>1133</v>
      </c>
      <c r="G60" t="s">
        <v>1134</v>
      </c>
      <c r="H60" t="s">
        <v>1135</v>
      </c>
    </row>
    <row r="61" spans="1:8">
      <c r="A61" t="s">
        <v>392</v>
      </c>
      <c r="B61" t="s">
        <v>393</v>
      </c>
      <c r="C61">
        <v>10.7961989</v>
      </c>
      <c r="D61">
        <v>106.6777842</v>
      </c>
      <c r="E61" t="s">
        <v>1126</v>
      </c>
      <c r="F61" t="s">
        <v>1142</v>
      </c>
      <c r="G61" t="s">
        <v>1143</v>
      </c>
      <c r="H61" t="s">
        <v>1144</v>
      </c>
    </row>
    <row r="62" spans="1:8">
      <c r="A62" t="s">
        <v>398</v>
      </c>
      <c r="B62" t="s">
        <v>399</v>
      </c>
      <c r="C62">
        <v>10.7839524</v>
      </c>
      <c r="D62">
        <v>106.68209400000001</v>
      </c>
      <c r="E62" t="s">
        <v>1125</v>
      </c>
      <c r="F62" t="s">
        <v>1133</v>
      </c>
      <c r="G62" t="s">
        <v>1137</v>
      </c>
      <c r="H62" t="s">
        <v>1135</v>
      </c>
    </row>
    <row r="63" spans="1:8">
      <c r="A63" t="s">
        <v>404</v>
      </c>
      <c r="B63" t="s">
        <v>405</v>
      </c>
      <c r="C63">
        <v>10.7750811</v>
      </c>
      <c r="D63">
        <v>106.700503</v>
      </c>
      <c r="E63" t="s">
        <v>1123</v>
      </c>
      <c r="F63" t="s">
        <v>1133</v>
      </c>
      <c r="G63" t="s">
        <v>1134</v>
      </c>
      <c r="H63" t="s">
        <v>1135</v>
      </c>
    </row>
    <row r="64" spans="1:8">
      <c r="A64" t="s">
        <v>410</v>
      </c>
      <c r="B64" t="s">
        <v>411</v>
      </c>
      <c r="C64">
        <v>10.7723259</v>
      </c>
      <c r="D64">
        <v>106.6945746</v>
      </c>
      <c r="E64" t="s">
        <v>1123</v>
      </c>
      <c r="F64" t="s">
        <v>1133</v>
      </c>
      <c r="G64" t="s">
        <v>1134</v>
      </c>
      <c r="H64" t="s">
        <v>1135</v>
      </c>
    </row>
    <row r="65" spans="1:8">
      <c r="A65" t="s">
        <v>418</v>
      </c>
      <c r="B65" t="s">
        <v>419</v>
      </c>
      <c r="C65">
        <v>10.771598600000001</v>
      </c>
      <c r="D65">
        <v>106.6885602</v>
      </c>
      <c r="E65" t="s">
        <v>1123</v>
      </c>
      <c r="F65" t="s">
        <v>1133</v>
      </c>
      <c r="G65" t="s">
        <v>1137</v>
      </c>
      <c r="H65" t="s">
        <v>1135</v>
      </c>
    </row>
    <row r="66" spans="1:8">
      <c r="A66" t="s">
        <v>423</v>
      </c>
      <c r="B66" t="s">
        <v>424</v>
      </c>
      <c r="C66">
        <v>10.7927559</v>
      </c>
      <c r="D66">
        <v>106.6897702</v>
      </c>
      <c r="E66" t="s">
        <v>1123</v>
      </c>
      <c r="F66" t="s">
        <v>1133</v>
      </c>
      <c r="G66" t="s">
        <v>1134</v>
      </c>
      <c r="H66" t="s">
        <v>1135</v>
      </c>
    </row>
    <row r="67" spans="1:8">
      <c r="A67" t="s">
        <v>429</v>
      </c>
      <c r="B67" t="s">
        <v>430</v>
      </c>
      <c r="C67">
        <v>10.773197</v>
      </c>
      <c r="D67">
        <v>106.701892</v>
      </c>
      <c r="E67" t="s">
        <v>1123</v>
      </c>
      <c r="F67" t="s">
        <v>1133</v>
      </c>
      <c r="G67" t="s">
        <v>1134</v>
      </c>
      <c r="H67" t="s">
        <v>1135</v>
      </c>
    </row>
    <row r="68" spans="1:8">
      <c r="A68" t="s">
        <v>435</v>
      </c>
      <c r="B68" t="s">
        <v>436</v>
      </c>
      <c r="C68">
        <v>10.7726481</v>
      </c>
      <c r="D68">
        <v>106.69648359999999</v>
      </c>
      <c r="E68" t="s">
        <v>1123</v>
      </c>
      <c r="F68" t="s">
        <v>1133</v>
      </c>
      <c r="G68" t="s">
        <v>1134</v>
      </c>
      <c r="H68" t="s">
        <v>1135</v>
      </c>
    </row>
    <row r="69" spans="1:8">
      <c r="A69" t="s">
        <v>440</v>
      </c>
      <c r="B69" t="s">
        <v>441</v>
      </c>
      <c r="C69">
        <v>10.788872</v>
      </c>
      <c r="D69">
        <v>106.6846244</v>
      </c>
      <c r="E69" t="s">
        <v>1125</v>
      </c>
      <c r="F69" t="s">
        <v>1133</v>
      </c>
      <c r="G69" t="s">
        <v>1137</v>
      </c>
      <c r="H69" t="s">
        <v>1135</v>
      </c>
    </row>
    <row r="70" spans="1:8">
      <c r="A70" t="s">
        <v>446</v>
      </c>
      <c r="B70" t="s">
        <v>447</v>
      </c>
      <c r="C70">
        <v>10.7770411</v>
      </c>
      <c r="D70">
        <v>106.68859689999999</v>
      </c>
      <c r="E70" t="s">
        <v>1125</v>
      </c>
      <c r="F70" t="s">
        <v>1133</v>
      </c>
      <c r="G70" t="s">
        <v>1137</v>
      </c>
      <c r="H70" t="s">
        <v>1135</v>
      </c>
    </row>
    <row r="71" spans="1:8">
      <c r="A71" t="s">
        <v>451</v>
      </c>
      <c r="B71" t="s">
        <v>452</v>
      </c>
      <c r="C71">
        <v>10.786816999999999</v>
      </c>
      <c r="D71">
        <v>106.6819498</v>
      </c>
      <c r="E71" t="s">
        <v>1125</v>
      </c>
      <c r="F71" t="s">
        <v>1138</v>
      </c>
      <c r="G71" t="s">
        <v>1139</v>
      </c>
      <c r="H71" t="s">
        <v>1135</v>
      </c>
    </row>
    <row r="72" spans="1:8">
      <c r="A72" t="s">
        <v>456</v>
      </c>
      <c r="B72" t="s">
        <v>457</v>
      </c>
      <c r="C72">
        <v>10.792407600000001</v>
      </c>
      <c r="D72">
        <v>106.68783639999999</v>
      </c>
      <c r="E72" t="s">
        <v>1123</v>
      </c>
      <c r="F72" t="s">
        <v>1133</v>
      </c>
      <c r="G72" t="s">
        <v>1134</v>
      </c>
      <c r="H72" t="s">
        <v>1135</v>
      </c>
    </row>
    <row r="73" spans="1:8">
      <c r="A73" t="s">
        <v>462</v>
      </c>
      <c r="B73" t="s">
        <v>463</v>
      </c>
      <c r="C73">
        <v>10.7738567</v>
      </c>
      <c r="D73">
        <v>106.6980798</v>
      </c>
      <c r="E73" t="s">
        <v>1123</v>
      </c>
      <c r="F73" t="s">
        <v>1133</v>
      </c>
      <c r="G73" t="s">
        <v>1134</v>
      </c>
      <c r="H73" t="s">
        <v>1135</v>
      </c>
    </row>
    <row r="74" spans="1:8">
      <c r="A74" t="s">
        <v>468</v>
      </c>
      <c r="B74" t="s">
        <v>469</v>
      </c>
      <c r="C74">
        <v>10.801888</v>
      </c>
      <c r="D74">
        <v>106.7354722</v>
      </c>
      <c r="E74" t="s">
        <v>1127</v>
      </c>
      <c r="F74" t="s">
        <v>1133</v>
      </c>
      <c r="G74" t="s">
        <v>1146</v>
      </c>
      <c r="H74" t="s">
        <v>1135</v>
      </c>
    </row>
    <row r="75" spans="1:8">
      <c r="A75" t="s">
        <v>475</v>
      </c>
      <c r="B75" t="s">
        <v>476</v>
      </c>
      <c r="C75">
        <v>10.797603000000001</v>
      </c>
      <c r="D75">
        <v>106.74150849999999</v>
      </c>
      <c r="E75" t="s">
        <v>1127</v>
      </c>
      <c r="F75" t="s">
        <v>1133</v>
      </c>
      <c r="G75" t="s">
        <v>1146</v>
      </c>
      <c r="H75" t="s">
        <v>1135</v>
      </c>
    </row>
    <row r="76" spans="1:8">
      <c r="A76" t="s">
        <v>480</v>
      </c>
      <c r="B76" t="s">
        <v>481</v>
      </c>
      <c r="C76">
        <v>10.7961531</v>
      </c>
      <c r="D76">
        <v>106.7310219</v>
      </c>
      <c r="E76" t="s">
        <v>1127</v>
      </c>
      <c r="F76" t="s">
        <v>1133</v>
      </c>
      <c r="G76" t="s">
        <v>1146</v>
      </c>
      <c r="H76" t="s">
        <v>1135</v>
      </c>
    </row>
    <row r="77" spans="1:8">
      <c r="A77" t="s">
        <v>486</v>
      </c>
      <c r="B77" t="s">
        <v>487</v>
      </c>
      <c r="C77">
        <v>10.802349</v>
      </c>
      <c r="D77">
        <v>106.73715970000001</v>
      </c>
      <c r="E77" t="s">
        <v>1127</v>
      </c>
      <c r="F77" t="s">
        <v>1133</v>
      </c>
      <c r="G77" t="s">
        <v>1146</v>
      </c>
      <c r="H77" t="s">
        <v>1135</v>
      </c>
    </row>
    <row r="78" spans="1:8">
      <c r="A78" t="s">
        <v>493</v>
      </c>
      <c r="B78" t="s">
        <v>494</v>
      </c>
      <c r="C78">
        <v>10.802954099999999</v>
      </c>
      <c r="D78">
        <v>106.7312266</v>
      </c>
      <c r="E78" t="s">
        <v>1127</v>
      </c>
      <c r="F78" t="s">
        <v>1133</v>
      </c>
      <c r="G78" t="s">
        <v>1146</v>
      </c>
      <c r="H78" t="s">
        <v>1135</v>
      </c>
    </row>
    <row r="79" spans="1:8">
      <c r="A79" t="s">
        <v>499</v>
      </c>
      <c r="B79" t="s">
        <v>500</v>
      </c>
      <c r="C79">
        <v>10.792175800000001</v>
      </c>
      <c r="D79">
        <v>106.745538</v>
      </c>
      <c r="E79" t="s">
        <v>1127</v>
      </c>
      <c r="F79" t="s">
        <v>1133</v>
      </c>
      <c r="G79" t="s">
        <v>1146</v>
      </c>
      <c r="H79" t="s">
        <v>1135</v>
      </c>
    </row>
    <row r="80" spans="1:8">
      <c r="A80" t="s">
        <v>504</v>
      </c>
      <c r="B80" t="s">
        <v>505</v>
      </c>
      <c r="C80">
        <v>10.8065373</v>
      </c>
      <c r="D80">
        <v>106.7308124</v>
      </c>
      <c r="E80" t="s">
        <v>1127</v>
      </c>
      <c r="F80" t="s">
        <v>1133</v>
      </c>
      <c r="G80" t="s">
        <v>1146</v>
      </c>
      <c r="H80" t="s">
        <v>1135</v>
      </c>
    </row>
    <row r="81" spans="1:8">
      <c r="A81" t="s">
        <v>511</v>
      </c>
      <c r="B81" t="s">
        <v>512</v>
      </c>
      <c r="C81">
        <v>10.8030413</v>
      </c>
      <c r="D81">
        <v>106.7323303</v>
      </c>
      <c r="E81" t="s">
        <v>1127</v>
      </c>
      <c r="F81" t="s">
        <v>1133</v>
      </c>
      <c r="G81" t="s">
        <v>1146</v>
      </c>
      <c r="H81" t="s">
        <v>1135</v>
      </c>
    </row>
    <row r="82" spans="1:8">
      <c r="A82" t="s">
        <v>516</v>
      </c>
      <c r="B82" t="s">
        <v>517</v>
      </c>
      <c r="C82">
        <v>10.803857799999999</v>
      </c>
      <c r="D82">
        <v>106.72841529999999</v>
      </c>
      <c r="E82" t="s">
        <v>1127</v>
      </c>
      <c r="F82" t="s">
        <v>1133</v>
      </c>
      <c r="G82" t="s">
        <v>1146</v>
      </c>
      <c r="H82" t="s">
        <v>1135</v>
      </c>
    </row>
    <row r="83" spans="1:8">
      <c r="A83" t="s">
        <v>521</v>
      </c>
      <c r="B83" t="s">
        <v>522</v>
      </c>
      <c r="C83">
        <v>10.801554400000001</v>
      </c>
      <c r="D83">
        <v>106.7293157</v>
      </c>
      <c r="E83" t="s">
        <v>1127</v>
      </c>
      <c r="F83" t="s">
        <v>1133</v>
      </c>
      <c r="G83" t="s">
        <v>1146</v>
      </c>
      <c r="H83" t="s">
        <v>1135</v>
      </c>
    </row>
    <row r="84" spans="1:8">
      <c r="A84" t="s">
        <v>528</v>
      </c>
      <c r="B84" t="s">
        <v>529</v>
      </c>
      <c r="C84">
        <v>10.8032012</v>
      </c>
      <c r="D84">
        <v>106.73640450000001</v>
      </c>
      <c r="E84" t="s">
        <v>1127</v>
      </c>
      <c r="F84" t="s">
        <v>1133</v>
      </c>
      <c r="G84" t="s">
        <v>1146</v>
      </c>
      <c r="H84" t="s">
        <v>1135</v>
      </c>
    </row>
    <row r="85" spans="1:8">
      <c r="A85" t="s">
        <v>534</v>
      </c>
      <c r="B85" t="s">
        <v>405</v>
      </c>
      <c r="C85">
        <v>10.806439299999999</v>
      </c>
      <c r="D85">
        <v>106.7349425</v>
      </c>
      <c r="E85" t="s">
        <v>1127</v>
      </c>
      <c r="F85" t="s">
        <v>1133</v>
      </c>
      <c r="G85" t="s">
        <v>1146</v>
      </c>
      <c r="H85" t="s">
        <v>1135</v>
      </c>
    </row>
    <row r="86" spans="1:8">
      <c r="A86" t="s">
        <v>539</v>
      </c>
      <c r="B86" t="s">
        <v>540</v>
      </c>
      <c r="C86">
        <v>10.794017800000001</v>
      </c>
      <c r="D86">
        <v>106.741034</v>
      </c>
      <c r="E86" t="s">
        <v>1127</v>
      </c>
      <c r="F86" t="s">
        <v>1133</v>
      </c>
      <c r="G86" t="s">
        <v>1146</v>
      </c>
      <c r="H86" t="s">
        <v>1135</v>
      </c>
    </row>
    <row r="87" spans="1:8">
      <c r="A87" t="s">
        <v>544</v>
      </c>
      <c r="B87" t="s">
        <v>545</v>
      </c>
      <c r="C87">
        <v>10.804199499999999</v>
      </c>
      <c r="D87">
        <v>106.7436151</v>
      </c>
      <c r="E87" t="s">
        <v>1127</v>
      </c>
      <c r="F87" t="s">
        <v>1133</v>
      </c>
      <c r="G87" t="s">
        <v>1146</v>
      </c>
      <c r="H87" t="s">
        <v>1135</v>
      </c>
    </row>
    <row r="88" spans="1:8">
      <c r="A88" t="s">
        <v>551</v>
      </c>
      <c r="B88" t="s">
        <v>552</v>
      </c>
      <c r="C88">
        <v>10.804209500000001</v>
      </c>
      <c r="D88">
        <v>106.7440478</v>
      </c>
      <c r="E88" t="s">
        <v>1127</v>
      </c>
      <c r="F88" t="s">
        <v>1133</v>
      </c>
      <c r="G88" t="s">
        <v>1147</v>
      </c>
      <c r="H88" t="s">
        <v>1135</v>
      </c>
    </row>
    <row r="89" spans="1:8">
      <c r="A89" t="s">
        <v>556</v>
      </c>
      <c r="B89" t="s">
        <v>557</v>
      </c>
      <c r="C89">
        <v>10.803062000000001</v>
      </c>
      <c r="D89">
        <v>106.7292159</v>
      </c>
      <c r="E89" t="s">
        <v>1127</v>
      </c>
      <c r="F89" t="s">
        <v>1133</v>
      </c>
      <c r="G89" t="s">
        <v>1146</v>
      </c>
      <c r="H89" t="s">
        <v>1135</v>
      </c>
    </row>
    <row r="90" spans="1:8">
      <c r="A90" t="s">
        <v>563</v>
      </c>
      <c r="B90" t="s">
        <v>564</v>
      </c>
      <c r="C90">
        <v>10.80339</v>
      </c>
      <c r="D90">
        <v>106.7392438</v>
      </c>
      <c r="E90" t="s">
        <v>1127</v>
      </c>
      <c r="F90" t="s">
        <v>1133</v>
      </c>
      <c r="G90" t="s">
        <v>1146</v>
      </c>
      <c r="H90" t="s">
        <v>1135</v>
      </c>
    </row>
    <row r="91" spans="1:8">
      <c r="A91" t="s">
        <v>569</v>
      </c>
      <c r="B91" t="s">
        <v>570</v>
      </c>
      <c r="C91">
        <v>10.791921500000001</v>
      </c>
      <c r="D91">
        <v>106.730317</v>
      </c>
      <c r="E91" t="s">
        <v>1127</v>
      </c>
      <c r="F91" t="s">
        <v>1133</v>
      </c>
      <c r="G91" t="s">
        <v>1146</v>
      </c>
      <c r="H91" t="s">
        <v>1135</v>
      </c>
    </row>
    <row r="92" spans="1:8">
      <c r="A92" t="s">
        <v>575</v>
      </c>
      <c r="B92" t="s">
        <v>576</v>
      </c>
      <c r="C92">
        <v>10.789558400000001</v>
      </c>
      <c r="D92">
        <v>106.7436764</v>
      </c>
      <c r="E92" t="s">
        <v>1127</v>
      </c>
      <c r="F92" t="s">
        <v>1133</v>
      </c>
      <c r="G92" t="s">
        <v>1147</v>
      </c>
      <c r="H92" t="s">
        <v>1135</v>
      </c>
    </row>
    <row r="93" spans="1:8">
      <c r="A93" t="s">
        <v>582</v>
      </c>
      <c r="B93" t="s">
        <v>583</v>
      </c>
      <c r="C93">
        <v>10.8044683</v>
      </c>
      <c r="D93">
        <v>106.73955479999999</v>
      </c>
      <c r="E93" t="s">
        <v>1127</v>
      </c>
      <c r="F93" t="s">
        <v>1133</v>
      </c>
      <c r="G93" t="s">
        <v>1146</v>
      </c>
      <c r="H93" t="s">
        <v>1135</v>
      </c>
    </row>
    <row r="94" spans="1:8">
      <c r="A94" t="s">
        <v>589</v>
      </c>
      <c r="B94" t="s">
        <v>590</v>
      </c>
      <c r="C94">
        <v>10.804198700000001</v>
      </c>
      <c r="D94">
        <v>106.73356680000001</v>
      </c>
      <c r="E94" t="s">
        <v>1127</v>
      </c>
      <c r="F94" t="s">
        <v>1133</v>
      </c>
      <c r="G94" t="s">
        <v>1146</v>
      </c>
      <c r="H94" t="s">
        <v>1135</v>
      </c>
    </row>
    <row r="95" spans="1:8">
      <c r="A95" t="s">
        <v>595</v>
      </c>
      <c r="B95" t="s">
        <v>380</v>
      </c>
      <c r="C95">
        <v>10.8089914</v>
      </c>
      <c r="D95">
        <v>106.75360860000001</v>
      </c>
      <c r="E95" t="s">
        <v>1127</v>
      </c>
      <c r="F95" t="s">
        <v>1133</v>
      </c>
      <c r="G95" t="s">
        <v>1146</v>
      </c>
      <c r="H95" t="s">
        <v>1135</v>
      </c>
    </row>
    <row r="96" spans="1:8">
      <c r="A96" t="s">
        <v>599</v>
      </c>
      <c r="B96" t="s">
        <v>600</v>
      </c>
      <c r="C96">
        <v>10.8060957</v>
      </c>
      <c r="D96">
        <v>106.7407594</v>
      </c>
      <c r="E96" t="s">
        <v>1127</v>
      </c>
      <c r="F96" t="s">
        <v>1133</v>
      </c>
      <c r="G96" t="s">
        <v>1146</v>
      </c>
      <c r="H96" t="s">
        <v>1135</v>
      </c>
    </row>
    <row r="97" spans="1:8">
      <c r="A97" t="s">
        <v>604</v>
      </c>
      <c r="B97" t="s">
        <v>605</v>
      </c>
      <c r="C97">
        <v>10.8042184</v>
      </c>
      <c r="D97">
        <v>106.72858220000001</v>
      </c>
      <c r="E97" t="s">
        <v>1127</v>
      </c>
      <c r="F97" t="s">
        <v>1133</v>
      </c>
      <c r="G97" t="s">
        <v>1146</v>
      </c>
      <c r="H97" t="s">
        <v>1135</v>
      </c>
    </row>
    <row r="98" spans="1:8">
      <c r="A98" t="s">
        <v>610</v>
      </c>
      <c r="B98" t="s">
        <v>611</v>
      </c>
      <c r="C98">
        <v>10.788841100000001</v>
      </c>
      <c r="D98">
        <v>106.7150518</v>
      </c>
      <c r="E98" t="s">
        <v>1124</v>
      </c>
      <c r="F98" t="s">
        <v>1133</v>
      </c>
      <c r="G98" t="s">
        <v>1136</v>
      </c>
      <c r="H98" t="s">
        <v>1135</v>
      </c>
    </row>
    <row r="99" spans="1:8">
      <c r="A99" t="s">
        <v>616</v>
      </c>
      <c r="B99" t="s">
        <v>617</v>
      </c>
      <c r="C99">
        <v>10.8086875</v>
      </c>
      <c r="D99">
        <v>106.7287477</v>
      </c>
      <c r="E99" t="s">
        <v>1127</v>
      </c>
      <c r="F99" t="s">
        <v>1133</v>
      </c>
      <c r="G99" t="s">
        <v>1146</v>
      </c>
      <c r="H99" t="s">
        <v>1135</v>
      </c>
    </row>
    <row r="100" spans="1:8">
      <c r="A100" t="s">
        <v>621</v>
      </c>
      <c r="B100" t="s">
        <v>622</v>
      </c>
      <c r="C100">
        <v>10.8047387</v>
      </c>
      <c r="D100">
        <v>106.7285675</v>
      </c>
      <c r="E100" t="s">
        <v>1127</v>
      </c>
      <c r="F100" t="s">
        <v>1133</v>
      </c>
      <c r="G100" t="s">
        <v>1146</v>
      </c>
      <c r="H100" t="s">
        <v>1135</v>
      </c>
    </row>
    <row r="101" spans="1:8">
      <c r="A101" t="s">
        <v>627</v>
      </c>
      <c r="B101" t="s">
        <v>628</v>
      </c>
      <c r="C101">
        <v>10.7983324</v>
      </c>
      <c r="D101">
        <v>106.7131962</v>
      </c>
      <c r="E101" t="s">
        <v>1124</v>
      </c>
      <c r="F101" t="s">
        <v>1133</v>
      </c>
      <c r="G101" t="s">
        <v>1136</v>
      </c>
      <c r="H101" t="s">
        <v>1135</v>
      </c>
    </row>
    <row r="102" spans="1:8">
      <c r="A102" t="s">
        <v>633</v>
      </c>
      <c r="B102" t="s">
        <v>634</v>
      </c>
      <c r="C102">
        <v>10.804266500000001</v>
      </c>
      <c r="D102">
        <v>106.74432539999999</v>
      </c>
      <c r="E102" t="s">
        <v>1127</v>
      </c>
      <c r="F102" t="s">
        <v>1133</v>
      </c>
      <c r="G102" t="s">
        <v>1146</v>
      </c>
      <c r="H102" t="s">
        <v>1135</v>
      </c>
    </row>
    <row r="103" spans="1:8">
      <c r="A103" t="s">
        <v>639</v>
      </c>
      <c r="B103" t="s">
        <v>640</v>
      </c>
      <c r="C103">
        <v>10.7942357</v>
      </c>
      <c r="D103">
        <v>106.7344837</v>
      </c>
      <c r="E103" t="s">
        <v>1127</v>
      </c>
      <c r="F103" t="s">
        <v>1133</v>
      </c>
      <c r="G103" t="s">
        <v>1147</v>
      </c>
      <c r="H103" t="s">
        <v>1135</v>
      </c>
    </row>
    <row r="104" spans="1:8">
      <c r="A104" t="s">
        <v>644</v>
      </c>
      <c r="B104" t="s">
        <v>645</v>
      </c>
      <c r="C104">
        <v>10.804643</v>
      </c>
      <c r="D104">
        <v>106.732175</v>
      </c>
      <c r="E104" t="s">
        <v>1127</v>
      </c>
      <c r="F104" t="s">
        <v>1133</v>
      </c>
      <c r="G104" t="s">
        <v>1146</v>
      </c>
      <c r="H104" t="s">
        <v>1135</v>
      </c>
    </row>
    <row r="105" spans="1:8">
      <c r="A105" t="s">
        <v>649</v>
      </c>
      <c r="B105" t="s">
        <v>650</v>
      </c>
      <c r="C105">
        <v>10.8040027</v>
      </c>
      <c r="D105">
        <v>106.7309875</v>
      </c>
      <c r="E105" t="s">
        <v>1127</v>
      </c>
      <c r="F105" t="s">
        <v>1133</v>
      </c>
      <c r="G105" t="s">
        <v>1146</v>
      </c>
      <c r="H105" t="s">
        <v>1135</v>
      </c>
    </row>
    <row r="106" spans="1:8">
      <c r="A106" t="s">
        <v>654</v>
      </c>
      <c r="B106" t="s">
        <v>655</v>
      </c>
      <c r="C106">
        <v>10.806095600000001</v>
      </c>
      <c r="D106">
        <v>106.7510874</v>
      </c>
      <c r="E106" t="s">
        <v>1127</v>
      </c>
      <c r="F106" t="s">
        <v>1133</v>
      </c>
      <c r="G106" t="s">
        <v>1147</v>
      </c>
      <c r="H106" t="s">
        <v>1135</v>
      </c>
    </row>
    <row r="107" spans="1:8">
      <c r="A107" t="s">
        <v>659</v>
      </c>
      <c r="B107" t="s">
        <v>660</v>
      </c>
      <c r="C107">
        <v>10.8120476</v>
      </c>
      <c r="D107">
        <v>106.7348551</v>
      </c>
      <c r="E107" t="s">
        <v>1127</v>
      </c>
      <c r="F107" t="s">
        <v>1133</v>
      </c>
      <c r="G107" t="s">
        <v>1146</v>
      </c>
      <c r="H107" t="s">
        <v>1135</v>
      </c>
    </row>
    <row r="108" spans="1:8">
      <c r="A108" t="s">
        <v>665</v>
      </c>
      <c r="B108" t="s">
        <v>666</v>
      </c>
      <c r="C108">
        <v>10.805527700000001</v>
      </c>
      <c r="D108">
        <v>106.73366300000001</v>
      </c>
      <c r="E108" t="s">
        <v>1127</v>
      </c>
      <c r="F108" t="s">
        <v>1133</v>
      </c>
      <c r="G108" t="s">
        <v>1146</v>
      </c>
      <c r="H108" t="s">
        <v>1135</v>
      </c>
    </row>
    <row r="109" spans="1:8">
      <c r="A109" t="s">
        <v>670</v>
      </c>
      <c r="B109" t="s">
        <v>671</v>
      </c>
      <c r="C109">
        <v>10.803137</v>
      </c>
      <c r="D109">
        <v>106.736952</v>
      </c>
      <c r="E109" t="s">
        <v>1127</v>
      </c>
      <c r="F109" t="s">
        <v>1133</v>
      </c>
      <c r="G109" t="s">
        <v>1146</v>
      </c>
      <c r="H109" t="s">
        <v>1135</v>
      </c>
    </row>
    <row r="110" spans="1:8">
      <c r="A110" t="s">
        <v>676</v>
      </c>
      <c r="B110" t="s">
        <v>677</v>
      </c>
      <c r="C110">
        <v>10.8035862</v>
      </c>
      <c r="D110">
        <v>106.72848260000001</v>
      </c>
      <c r="E110" t="s">
        <v>1127</v>
      </c>
      <c r="F110" t="s">
        <v>1133</v>
      </c>
      <c r="G110" t="s">
        <v>1146</v>
      </c>
      <c r="H110" t="s">
        <v>1135</v>
      </c>
    </row>
    <row r="111" spans="1:8">
      <c r="A111" t="s">
        <v>682</v>
      </c>
      <c r="B111" t="s">
        <v>683</v>
      </c>
      <c r="C111">
        <v>10.7938659</v>
      </c>
      <c r="D111">
        <v>106.73518009999999</v>
      </c>
      <c r="E111" t="s">
        <v>1127</v>
      </c>
      <c r="F111" t="s">
        <v>1133</v>
      </c>
      <c r="G111" t="s">
        <v>1146</v>
      </c>
      <c r="H111" t="s">
        <v>1135</v>
      </c>
    </row>
    <row r="112" spans="1:8">
      <c r="A112" t="s">
        <v>687</v>
      </c>
      <c r="B112" t="s">
        <v>688</v>
      </c>
      <c r="C112">
        <v>10.791938500000001</v>
      </c>
      <c r="D112">
        <v>106.7195364</v>
      </c>
      <c r="E112" t="s">
        <v>1124</v>
      </c>
      <c r="F112" t="s">
        <v>1133</v>
      </c>
      <c r="G112" t="s">
        <v>1136</v>
      </c>
      <c r="H112" t="s">
        <v>1135</v>
      </c>
    </row>
    <row r="113" spans="1:8">
      <c r="A113" t="s">
        <v>693</v>
      </c>
      <c r="B113" t="s">
        <v>694</v>
      </c>
      <c r="C113">
        <v>10.8044683</v>
      </c>
      <c r="D113">
        <v>106.73955479999999</v>
      </c>
      <c r="E113" t="s">
        <v>1127</v>
      </c>
      <c r="F113" t="s">
        <v>1133</v>
      </c>
      <c r="G113" t="s">
        <v>1146</v>
      </c>
      <c r="H113" t="s">
        <v>1135</v>
      </c>
    </row>
    <row r="114" spans="1:8">
      <c r="A114" t="s">
        <v>698</v>
      </c>
      <c r="B114" t="s">
        <v>699</v>
      </c>
      <c r="C114">
        <v>10.768231</v>
      </c>
      <c r="D114">
        <v>106.693986</v>
      </c>
      <c r="E114" t="s">
        <v>1123</v>
      </c>
      <c r="F114" t="s">
        <v>1133</v>
      </c>
      <c r="G114" t="s">
        <v>1134</v>
      </c>
      <c r="H114" t="s">
        <v>1135</v>
      </c>
    </row>
    <row r="115" spans="1:8">
      <c r="A115" t="s">
        <v>704</v>
      </c>
      <c r="B115" t="s">
        <v>705</v>
      </c>
      <c r="C115">
        <v>10.8031576</v>
      </c>
      <c r="D115">
        <v>106.752121</v>
      </c>
      <c r="E115" t="s">
        <v>1127</v>
      </c>
      <c r="F115" t="s">
        <v>1133</v>
      </c>
      <c r="G115" t="s">
        <v>1146</v>
      </c>
      <c r="H115" t="s">
        <v>1135</v>
      </c>
    </row>
    <row r="116" spans="1:8">
      <c r="A116" t="s">
        <v>710</v>
      </c>
      <c r="B116" t="s">
        <v>711</v>
      </c>
      <c r="C116">
        <v>10.765355899999999</v>
      </c>
      <c r="D116">
        <v>106.6866134</v>
      </c>
      <c r="E116" t="s">
        <v>1126</v>
      </c>
      <c r="F116" t="s">
        <v>1142</v>
      </c>
      <c r="G116" t="s">
        <v>1145</v>
      </c>
      <c r="H116" t="s">
        <v>1144</v>
      </c>
    </row>
    <row r="117" spans="1:8">
      <c r="A117" t="s">
        <v>716</v>
      </c>
      <c r="B117" t="s">
        <v>717</v>
      </c>
      <c r="C117">
        <v>10.802813499999999</v>
      </c>
      <c r="D117">
        <v>106.7304438</v>
      </c>
      <c r="E117" t="s">
        <v>1127</v>
      </c>
      <c r="F117" t="s">
        <v>1133</v>
      </c>
      <c r="G117" t="s">
        <v>1146</v>
      </c>
      <c r="H117" t="s">
        <v>1135</v>
      </c>
    </row>
    <row r="118" spans="1:8">
      <c r="A118" t="s">
        <v>720</v>
      </c>
      <c r="B118" t="s">
        <v>721</v>
      </c>
      <c r="C118">
        <v>10.7589212</v>
      </c>
      <c r="D118">
        <v>106.70116229999999</v>
      </c>
      <c r="E118" t="s">
        <v>1126</v>
      </c>
      <c r="F118" t="s">
        <v>1142</v>
      </c>
      <c r="G118" t="s">
        <v>1145</v>
      </c>
      <c r="H118" t="s">
        <v>1144</v>
      </c>
    </row>
    <row r="119" spans="1:8">
      <c r="A119" t="s">
        <v>725</v>
      </c>
      <c r="B119" t="s">
        <v>726</v>
      </c>
      <c r="C119">
        <v>10.778975300000001</v>
      </c>
      <c r="D119">
        <v>106.71369660000001</v>
      </c>
      <c r="E119" t="s">
        <v>1127</v>
      </c>
      <c r="F119" t="s">
        <v>1133</v>
      </c>
      <c r="G119" t="s">
        <v>1146</v>
      </c>
      <c r="H119" t="s">
        <v>1135</v>
      </c>
    </row>
    <row r="120" spans="1:8">
      <c r="A120" t="s">
        <v>731</v>
      </c>
      <c r="B120" t="s">
        <v>732</v>
      </c>
      <c r="C120">
        <v>10.765075599999999</v>
      </c>
      <c r="D120">
        <v>106.69737809999999</v>
      </c>
      <c r="E120" t="s">
        <v>1123</v>
      </c>
      <c r="F120" t="s">
        <v>1133</v>
      </c>
      <c r="G120" t="s">
        <v>1134</v>
      </c>
      <c r="H120" t="s">
        <v>1135</v>
      </c>
    </row>
    <row r="121" spans="1:8">
      <c r="A121" t="s">
        <v>736</v>
      </c>
      <c r="B121" t="s">
        <v>737</v>
      </c>
      <c r="C121">
        <v>10.788587700000001</v>
      </c>
      <c r="D121">
        <v>106.7301262</v>
      </c>
      <c r="E121" t="s">
        <v>1127</v>
      </c>
      <c r="F121" t="s">
        <v>1133</v>
      </c>
      <c r="G121" t="s">
        <v>1146</v>
      </c>
      <c r="H121" t="s">
        <v>1135</v>
      </c>
    </row>
    <row r="122" spans="1:8">
      <c r="A122" t="s">
        <v>741</v>
      </c>
      <c r="B122" t="s">
        <v>742</v>
      </c>
      <c r="C122">
        <v>10.7649171</v>
      </c>
      <c r="D122">
        <v>106.6947502</v>
      </c>
      <c r="E122" t="s">
        <v>1123</v>
      </c>
      <c r="F122" t="s">
        <v>1133</v>
      </c>
      <c r="G122" t="s">
        <v>1134</v>
      </c>
      <c r="H122" t="s">
        <v>1135</v>
      </c>
    </row>
    <row r="123" spans="1:8">
      <c r="A123" t="s">
        <v>746</v>
      </c>
      <c r="B123" t="s">
        <v>747</v>
      </c>
      <c r="C123">
        <v>10.768589</v>
      </c>
      <c r="D123">
        <v>106.69807400000001</v>
      </c>
      <c r="E123" t="s">
        <v>1123</v>
      </c>
      <c r="F123" t="s">
        <v>1133</v>
      </c>
      <c r="G123" t="s">
        <v>1134</v>
      </c>
      <c r="H123" t="s">
        <v>1135</v>
      </c>
    </row>
    <row r="124" spans="1:8">
      <c r="A124" t="s">
        <v>752</v>
      </c>
      <c r="B124" t="s">
        <v>753</v>
      </c>
      <c r="C124">
        <v>10.7682442</v>
      </c>
      <c r="D124">
        <v>106.6936304</v>
      </c>
      <c r="E124" t="s">
        <v>1123</v>
      </c>
      <c r="F124" t="s">
        <v>1133</v>
      </c>
      <c r="G124" t="s">
        <v>1134</v>
      </c>
      <c r="H124" t="s">
        <v>1135</v>
      </c>
    </row>
    <row r="125" spans="1:8">
      <c r="A125" t="s">
        <v>758</v>
      </c>
      <c r="B125" t="s">
        <v>759</v>
      </c>
      <c r="C125">
        <v>10.803716400000001</v>
      </c>
      <c r="D125">
        <v>106.7349952</v>
      </c>
      <c r="E125" t="s">
        <v>1127</v>
      </c>
      <c r="F125" t="s">
        <v>1133</v>
      </c>
      <c r="G125" t="s">
        <v>1146</v>
      </c>
      <c r="H125" t="s">
        <v>1135</v>
      </c>
    </row>
    <row r="126" spans="1:8">
      <c r="A126" t="s">
        <v>764</v>
      </c>
      <c r="B126" t="s">
        <v>765</v>
      </c>
      <c r="C126">
        <v>10.803569400000001</v>
      </c>
      <c r="D126">
        <v>106.72105120000001</v>
      </c>
      <c r="E126" t="s">
        <v>1124</v>
      </c>
      <c r="F126" t="s">
        <v>1133</v>
      </c>
      <c r="G126" t="s">
        <v>1136</v>
      </c>
      <c r="H126" t="s">
        <v>1135</v>
      </c>
    </row>
    <row r="127" spans="1:8">
      <c r="A127" t="s">
        <v>770</v>
      </c>
      <c r="B127" t="s">
        <v>771</v>
      </c>
      <c r="C127">
        <v>10.723496000000001</v>
      </c>
      <c r="D127">
        <v>106.7280633</v>
      </c>
      <c r="E127" t="s">
        <v>1128</v>
      </c>
      <c r="F127" t="s">
        <v>1133</v>
      </c>
      <c r="G127" t="s">
        <v>1148</v>
      </c>
      <c r="H127" t="s">
        <v>1135</v>
      </c>
    </row>
    <row r="128" spans="1:8">
      <c r="A128" t="s">
        <v>775</v>
      </c>
      <c r="B128" t="s">
        <v>776</v>
      </c>
      <c r="C128">
        <v>10.723496799999999</v>
      </c>
      <c r="D128">
        <v>106.7281066</v>
      </c>
      <c r="E128" t="s">
        <v>1128</v>
      </c>
      <c r="F128" t="s">
        <v>1133</v>
      </c>
      <c r="G128" t="s">
        <v>1148</v>
      </c>
      <c r="H128" t="s">
        <v>1135</v>
      </c>
    </row>
    <row r="129" spans="1:8">
      <c r="A129" t="s">
        <v>780</v>
      </c>
      <c r="B129" t="s">
        <v>781</v>
      </c>
      <c r="C129">
        <v>10.7198048</v>
      </c>
      <c r="D129">
        <v>106.73119060000001</v>
      </c>
      <c r="E129" t="s">
        <v>1128</v>
      </c>
      <c r="F129" t="s">
        <v>1133</v>
      </c>
      <c r="G129" t="s">
        <v>1148</v>
      </c>
      <c r="H129" t="s">
        <v>1135</v>
      </c>
    </row>
    <row r="130" spans="1:8">
      <c r="A130" t="s">
        <v>786</v>
      </c>
      <c r="B130" t="s">
        <v>787</v>
      </c>
      <c r="C130">
        <v>10.727579199999999</v>
      </c>
      <c r="D130">
        <v>106.7124718</v>
      </c>
      <c r="E130" t="s">
        <v>1128</v>
      </c>
      <c r="F130" t="s">
        <v>1133</v>
      </c>
      <c r="G130" t="s">
        <v>1148</v>
      </c>
      <c r="H130" t="s">
        <v>1135</v>
      </c>
    </row>
    <row r="131" spans="1:8">
      <c r="A131" t="s">
        <v>793</v>
      </c>
      <c r="B131" t="s">
        <v>794</v>
      </c>
      <c r="C131">
        <v>10.7502899</v>
      </c>
      <c r="D131">
        <v>106.73561340000001</v>
      </c>
      <c r="E131" t="s">
        <v>1128</v>
      </c>
      <c r="F131" t="s">
        <v>1133</v>
      </c>
      <c r="G131" t="s">
        <v>1149</v>
      </c>
      <c r="H131" t="s">
        <v>1135</v>
      </c>
    </row>
    <row r="132" spans="1:8">
      <c r="A132" t="s">
        <v>800</v>
      </c>
      <c r="B132" t="s">
        <v>801</v>
      </c>
      <c r="C132">
        <v>10.722410999999999</v>
      </c>
      <c r="D132">
        <v>106.7124706</v>
      </c>
      <c r="E132" t="s">
        <v>1128</v>
      </c>
      <c r="F132" t="s">
        <v>1133</v>
      </c>
      <c r="G132" t="s">
        <v>1148</v>
      </c>
      <c r="H132" t="s">
        <v>1135</v>
      </c>
    </row>
    <row r="133" spans="1:8">
      <c r="A133" t="s">
        <v>805</v>
      </c>
      <c r="B133" t="s">
        <v>806</v>
      </c>
      <c r="C133">
        <v>10.730053399999999</v>
      </c>
      <c r="D133">
        <v>106.7094791</v>
      </c>
      <c r="E133" t="s">
        <v>1128</v>
      </c>
      <c r="F133" t="s">
        <v>1133</v>
      </c>
      <c r="G133" t="s">
        <v>1148</v>
      </c>
      <c r="H133" t="s">
        <v>1135</v>
      </c>
    </row>
    <row r="134" spans="1:8">
      <c r="A134" t="s">
        <v>810</v>
      </c>
      <c r="B134" t="s">
        <v>811</v>
      </c>
      <c r="C134">
        <v>10.7280502</v>
      </c>
      <c r="D134">
        <v>106.7103638</v>
      </c>
      <c r="E134" t="s">
        <v>1128</v>
      </c>
      <c r="F134" t="s">
        <v>1133</v>
      </c>
      <c r="G134" t="s">
        <v>1148</v>
      </c>
      <c r="H134" t="s">
        <v>1135</v>
      </c>
    </row>
    <row r="135" spans="1:8">
      <c r="A135" t="s">
        <v>815</v>
      </c>
      <c r="B135" t="s">
        <v>816</v>
      </c>
      <c r="C135">
        <v>10.733912500000001</v>
      </c>
      <c r="D135">
        <v>106.70202279999999</v>
      </c>
      <c r="E135" t="s">
        <v>1128</v>
      </c>
      <c r="F135" t="s">
        <v>1133</v>
      </c>
      <c r="G135" t="s">
        <v>1148</v>
      </c>
      <c r="H135" t="s">
        <v>1135</v>
      </c>
    </row>
    <row r="136" spans="1:8">
      <c r="A136" t="s">
        <v>821</v>
      </c>
      <c r="B136" t="s">
        <v>822</v>
      </c>
      <c r="C136">
        <v>10.733362700000001</v>
      </c>
      <c r="D136">
        <v>106.7068561</v>
      </c>
      <c r="E136" t="s">
        <v>1128</v>
      </c>
      <c r="F136" t="s">
        <v>1133</v>
      </c>
      <c r="G136" t="s">
        <v>1148</v>
      </c>
      <c r="H136" t="s">
        <v>1135</v>
      </c>
    </row>
    <row r="137" spans="1:8">
      <c r="A137" t="s">
        <v>826</v>
      </c>
      <c r="B137" t="s">
        <v>827</v>
      </c>
      <c r="C137">
        <v>10.7045066</v>
      </c>
      <c r="D137">
        <v>106.7360413</v>
      </c>
      <c r="E137" t="s">
        <v>1128</v>
      </c>
      <c r="F137" t="s">
        <v>1133</v>
      </c>
      <c r="G137" t="s">
        <v>1148</v>
      </c>
      <c r="H137" t="s">
        <v>1135</v>
      </c>
    </row>
    <row r="138" spans="1:8">
      <c r="A138" t="s">
        <v>831</v>
      </c>
      <c r="B138" t="s">
        <v>832</v>
      </c>
      <c r="C138">
        <v>10.751741300000001</v>
      </c>
      <c r="D138">
        <v>106.7139471</v>
      </c>
      <c r="E138" t="s">
        <v>1128</v>
      </c>
      <c r="F138" t="s">
        <v>1133</v>
      </c>
      <c r="G138" t="s">
        <v>1149</v>
      </c>
      <c r="H138" t="s">
        <v>1135</v>
      </c>
    </row>
    <row r="139" spans="1:8">
      <c r="A139" t="s">
        <v>837</v>
      </c>
      <c r="B139" t="s">
        <v>838</v>
      </c>
      <c r="C139">
        <v>10.7516213</v>
      </c>
      <c r="D139">
        <v>106.7081845</v>
      </c>
      <c r="E139" t="s">
        <v>1128</v>
      </c>
      <c r="F139" t="s">
        <v>1133</v>
      </c>
      <c r="G139" t="s">
        <v>1149</v>
      </c>
      <c r="H139" t="s">
        <v>1135</v>
      </c>
    </row>
    <row r="140" spans="1:8">
      <c r="A140" t="s">
        <v>843</v>
      </c>
      <c r="B140" t="s">
        <v>844</v>
      </c>
      <c r="C140">
        <v>10.7531154</v>
      </c>
      <c r="D140">
        <v>106.69995280000001</v>
      </c>
      <c r="E140" t="s">
        <v>1126</v>
      </c>
      <c r="F140" t="s">
        <v>1142</v>
      </c>
      <c r="G140" t="s">
        <v>1143</v>
      </c>
      <c r="H140" t="s">
        <v>1144</v>
      </c>
    </row>
    <row r="141" spans="1:8">
      <c r="A141" t="s">
        <v>848</v>
      </c>
      <c r="B141" t="s">
        <v>849</v>
      </c>
      <c r="C141">
        <v>10.739927099999999</v>
      </c>
      <c r="D141">
        <v>106.71049259999999</v>
      </c>
      <c r="E141" t="s">
        <v>1128</v>
      </c>
      <c r="F141" t="s">
        <v>1133</v>
      </c>
      <c r="G141" t="s">
        <v>1148</v>
      </c>
      <c r="H141" t="s">
        <v>1135</v>
      </c>
    </row>
    <row r="142" spans="1:8">
      <c r="A142" t="s">
        <v>853</v>
      </c>
      <c r="B142" t="s">
        <v>854</v>
      </c>
      <c r="C142">
        <v>10.754336</v>
      </c>
      <c r="D142">
        <v>106.6832464</v>
      </c>
      <c r="E142" t="s">
        <v>1126</v>
      </c>
      <c r="F142" t="s">
        <v>1142</v>
      </c>
      <c r="G142" t="s">
        <v>1143</v>
      </c>
      <c r="H142" t="s">
        <v>1144</v>
      </c>
    </row>
    <row r="143" spans="1:8">
      <c r="A143" t="s">
        <v>859</v>
      </c>
      <c r="B143" t="s">
        <v>860</v>
      </c>
      <c r="C143">
        <v>10.749494800000001</v>
      </c>
      <c r="D143">
        <v>106.70502639999999</v>
      </c>
      <c r="E143" t="s">
        <v>1128</v>
      </c>
      <c r="F143" t="s">
        <v>1133</v>
      </c>
      <c r="G143" t="s">
        <v>1149</v>
      </c>
      <c r="H143" t="s">
        <v>1135</v>
      </c>
    </row>
    <row r="144" spans="1:8">
      <c r="A144" t="s">
        <v>865</v>
      </c>
      <c r="B144" t="s">
        <v>866</v>
      </c>
      <c r="C144">
        <v>10.7380213</v>
      </c>
      <c r="D144">
        <v>106.7304498</v>
      </c>
      <c r="E144" t="s">
        <v>1128</v>
      </c>
      <c r="F144" t="s">
        <v>1133</v>
      </c>
      <c r="G144" t="s">
        <v>1148</v>
      </c>
      <c r="H144" t="s">
        <v>1135</v>
      </c>
    </row>
    <row r="145" spans="1:8">
      <c r="A145" t="s">
        <v>871</v>
      </c>
      <c r="B145" t="s">
        <v>872</v>
      </c>
      <c r="C145">
        <v>10.718044799999999</v>
      </c>
      <c r="D145">
        <v>106.7297147</v>
      </c>
      <c r="E145" t="s">
        <v>1128</v>
      </c>
      <c r="F145" t="s">
        <v>1133</v>
      </c>
      <c r="G145" t="s">
        <v>1148</v>
      </c>
      <c r="H145" t="s">
        <v>1135</v>
      </c>
    </row>
    <row r="146" spans="1:8">
      <c r="A146" t="s">
        <v>878</v>
      </c>
      <c r="B146" t="s">
        <v>879</v>
      </c>
      <c r="C146">
        <v>10.720801700000001</v>
      </c>
      <c r="D146">
        <v>106.7272066</v>
      </c>
      <c r="E146" t="s">
        <v>1128</v>
      </c>
      <c r="F146" t="s">
        <v>1133</v>
      </c>
      <c r="G146" t="s">
        <v>1148</v>
      </c>
      <c r="H146" t="s">
        <v>1135</v>
      </c>
    </row>
    <row r="147" spans="1:8">
      <c r="A147" t="s">
        <v>883</v>
      </c>
      <c r="B147" t="s">
        <v>884</v>
      </c>
      <c r="C147">
        <v>10.7850596</v>
      </c>
      <c r="D147">
        <v>106.700441</v>
      </c>
      <c r="E147" t="s">
        <v>1123</v>
      </c>
      <c r="F147" t="s">
        <v>1133</v>
      </c>
      <c r="G147" t="s">
        <v>1134</v>
      </c>
      <c r="H147" t="s">
        <v>1135</v>
      </c>
    </row>
    <row r="148" spans="1:8">
      <c r="A148" t="s">
        <v>888</v>
      </c>
      <c r="B148" t="s">
        <v>889</v>
      </c>
      <c r="C148">
        <v>10.788226099999999</v>
      </c>
      <c r="D148">
        <v>106.6965514</v>
      </c>
      <c r="E148" t="s">
        <v>1123</v>
      </c>
      <c r="F148" t="s">
        <v>1133</v>
      </c>
      <c r="G148" t="s">
        <v>1134</v>
      </c>
      <c r="H148" t="s">
        <v>1135</v>
      </c>
    </row>
    <row r="149" spans="1:8">
      <c r="A149" t="s">
        <v>892</v>
      </c>
      <c r="B149" t="s">
        <v>893</v>
      </c>
      <c r="C149">
        <v>10.791629800000001</v>
      </c>
      <c r="D149">
        <v>106.6902393</v>
      </c>
      <c r="E149" t="s">
        <v>1125</v>
      </c>
      <c r="F149" t="s">
        <v>1138</v>
      </c>
      <c r="G149" t="s">
        <v>1139</v>
      </c>
      <c r="H149" t="s">
        <v>1135</v>
      </c>
    </row>
    <row r="150" spans="1:8">
      <c r="A150" t="s">
        <v>898</v>
      </c>
      <c r="B150" t="s">
        <v>899</v>
      </c>
      <c r="C150">
        <v>10.790853800000001</v>
      </c>
      <c r="D150">
        <v>106.6968248</v>
      </c>
      <c r="E150" t="s">
        <v>1123</v>
      </c>
      <c r="F150" t="s">
        <v>1133</v>
      </c>
      <c r="G150" t="s">
        <v>1134</v>
      </c>
      <c r="H150" t="s">
        <v>1135</v>
      </c>
    </row>
    <row r="151" spans="1:8">
      <c r="A151" t="s">
        <v>903</v>
      </c>
      <c r="B151" t="s">
        <v>904</v>
      </c>
      <c r="C151">
        <v>10.787120399999999</v>
      </c>
      <c r="D151">
        <v>106.69605319999999</v>
      </c>
      <c r="E151" t="s">
        <v>1123</v>
      </c>
      <c r="F151" t="s">
        <v>1133</v>
      </c>
      <c r="G151" t="s">
        <v>1134</v>
      </c>
      <c r="H151" t="s">
        <v>1135</v>
      </c>
    </row>
    <row r="152" spans="1:8">
      <c r="A152" t="s">
        <v>908</v>
      </c>
      <c r="B152" t="s">
        <v>909</v>
      </c>
      <c r="C152">
        <v>10.785833800000001</v>
      </c>
      <c r="D152">
        <v>106.6942744</v>
      </c>
      <c r="E152" t="s">
        <v>1123</v>
      </c>
      <c r="F152" t="s">
        <v>1133</v>
      </c>
      <c r="G152" t="s">
        <v>1134</v>
      </c>
      <c r="H152" t="s">
        <v>1135</v>
      </c>
    </row>
    <row r="153" spans="1:8">
      <c r="A153" t="s">
        <v>914</v>
      </c>
      <c r="B153" t="s">
        <v>915</v>
      </c>
      <c r="C153">
        <v>10.7904632</v>
      </c>
      <c r="D153">
        <v>106.6906548</v>
      </c>
      <c r="E153" t="s">
        <v>1123</v>
      </c>
      <c r="F153" t="s">
        <v>1133</v>
      </c>
      <c r="G153" t="s">
        <v>1134</v>
      </c>
      <c r="H153" t="s">
        <v>1135</v>
      </c>
    </row>
    <row r="154" spans="1:8">
      <c r="A154" t="s">
        <v>919</v>
      </c>
      <c r="B154" t="s">
        <v>920</v>
      </c>
      <c r="C154">
        <v>10.791911900000001</v>
      </c>
      <c r="D154">
        <v>106.7002651</v>
      </c>
      <c r="E154" t="s">
        <v>1123</v>
      </c>
      <c r="F154" t="s">
        <v>1133</v>
      </c>
      <c r="G154" t="s">
        <v>1134</v>
      </c>
      <c r="H154" t="s">
        <v>1135</v>
      </c>
    </row>
    <row r="155" spans="1:8">
      <c r="A155" t="s">
        <v>924</v>
      </c>
      <c r="B155" t="s">
        <v>925</v>
      </c>
      <c r="C155">
        <v>10.7879877</v>
      </c>
      <c r="D155">
        <v>106.7026631</v>
      </c>
      <c r="E155" t="s">
        <v>1123</v>
      </c>
      <c r="F155" t="s">
        <v>1133</v>
      </c>
      <c r="G155" t="s">
        <v>1134</v>
      </c>
      <c r="H155" t="s">
        <v>1135</v>
      </c>
    </row>
    <row r="156" spans="1:8">
      <c r="A156" t="s">
        <v>928</v>
      </c>
      <c r="B156" t="s">
        <v>929</v>
      </c>
      <c r="C156">
        <v>10.7924606</v>
      </c>
      <c r="D156">
        <v>106.69139269999999</v>
      </c>
      <c r="E156" t="s">
        <v>1123</v>
      </c>
      <c r="F156" t="s">
        <v>1133</v>
      </c>
      <c r="G156" t="s">
        <v>1134</v>
      </c>
      <c r="H156" t="s">
        <v>1135</v>
      </c>
    </row>
    <row r="157" spans="1:8">
      <c r="A157" t="s">
        <v>933</v>
      </c>
      <c r="B157" t="s">
        <v>934</v>
      </c>
      <c r="C157">
        <v>10.791056599999999</v>
      </c>
      <c r="D157">
        <v>106.6937269</v>
      </c>
      <c r="E157" t="s">
        <v>1125</v>
      </c>
      <c r="F157" t="s">
        <v>1138</v>
      </c>
      <c r="G157" t="s">
        <v>1139</v>
      </c>
      <c r="H157" t="s">
        <v>1135</v>
      </c>
    </row>
    <row r="158" spans="1:8">
      <c r="A158" t="s">
        <v>937</v>
      </c>
      <c r="B158" t="s">
        <v>938</v>
      </c>
      <c r="C158">
        <v>10.786090700000001</v>
      </c>
      <c r="D158">
        <v>106.6990476</v>
      </c>
      <c r="E158" t="s">
        <v>1123</v>
      </c>
      <c r="F158" t="s">
        <v>1133</v>
      </c>
      <c r="G158" t="s">
        <v>1134</v>
      </c>
      <c r="H158" t="s">
        <v>1135</v>
      </c>
    </row>
    <row r="159" spans="1:8">
      <c r="A159" t="s">
        <v>941</v>
      </c>
      <c r="B159" t="s">
        <v>942</v>
      </c>
      <c r="C159">
        <v>10.7876178</v>
      </c>
      <c r="D159">
        <v>106.702848</v>
      </c>
      <c r="E159" t="s">
        <v>1123</v>
      </c>
      <c r="F159" t="s">
        <v>1133</v>
      </c>
      <c r="G159" t="s">
        <v>1134</v>
      </c>
      <c r="H159" t="s">
        <v>1135</v>
      </c>
    </row>
    <row r="160" spans="1:8">
      <c r="A160" t="s">
        <v>946</v>
      </c>
      <c r="B160" t="s">
        <v>947</v>
      </c>
      <c r="C160">
        <v>10.7849579</v>
      </c>
      <c r="D160">
        <v>106.6989365</v>
      </c>
      <c r="E160" t="s">
        <v>1123</v>
      </c>
      <c r="F160" t="s">
        <v>1133</v>
      </c>
      <c r="G160" t="s">
        <v>1134</v>
      </c>
      <c r="H160" t="s">
        <v>1135</v>
      </c>
    </row>
    <row r="161" spans="1:8">
      <c r="A161" t="s">
        <v>950</v>
      </c>
      <c r="B161" t="s">
        <v>951</v>
      </c>
      <c r="C161">
        <v>10.790244</v>
      </c>
      <c r="D161">
        <v>106.7154314</v>
      </c>
      <c r="E161" t="s">
        <v>1124</v>
      </c>
      <c r="F161" t="s">
        <v>1133</v>
      </c>
      <c r="G161" t="s">
        <v>1136</v>
      </c>
      <c r="H161" t="s">
        <v>1135</v>
      </c>
    </row>
    <row r="162" spans="1:8">
      <c r="A162" t="s">
        <v>954</v>
      </c>
      <c r="B162" t="s">
        <v>955</v>
      </c>
      <c r="C162">
        <v>10.7943889</v>
      </c>
      <c r="D162">
        <v>106.71620369999999</v>
      </c>
      <c r="E162" t="s">
        <v>1124</v>
      </c>
      <c r="F162" t="s">
        <v>1133</v>
      </c>
      <c r="G162" t="s">
        <v>1136</v>
      </c>
      <c r="H162" t="s">
        <v>1135</v>
      </c>
    </row>
    <row r="163" spans="1:8">
      <c r="A163" t="s">
        <v>960</v>
      </c>
      <c r="B163" t="s">
        <v>961</v>
      </c>
      <c r="C163">
        <v>10.790016100000001</v>
      </c>
      <c r="D163">
        <v>106.71200399999999</v>
      </c>
      <c r="E163" t="s">
        <v>1124</v>
      </c>
      <c r="F163" t="s">
        <v>1133</v>
      </c>
      <c r="G163" t="s">
        <v>1136</v>
      </c>
      <c r="H163" t="s">
        <v>1135</v>
      </c>
    </row>
    <row r="164" spans="1:8">
      <c r="A164" t="s">
        <v>965</v>
      </c>
      <c r="B164" t="s">
        <v>966</v>
      </c>
      <c r="C164">
        <v>10.7939259</v>
      </c>
      <c r="D164">
        <v>106.70941740000001</v>
      </c>
      <c r="E164" t="s">
        <v>1124</v>
      </c>
      <c r="F164" t="s">
        <v>1133</v>
      </c>
      <c r="G164" t="s">
        <v>1136</v>
      </c>
      <c r="H164" t="s">
        <v>1135</v>
      </c>
    </row>
    <row r="165" spans="1:8">
      <c r="A165" t="s">
        <v>974</v>
      </c>
      <c r="B165" t="s">
        <v>975</v>
      </c>
      <c r="C165">
        <v>10.7928043</v>
      </c>
      <c r="D165">
        <v>106.71168729999999</v>
      </c>
      <c r="E165" t="s">
        <v>1124</v>
      </c>
      <c r="F165" t="s">
        <v>1133</v>
      </c>
      <c r="G165" t="s">
        <v>1136</v>
      </c>
      <c r="H165" t="s">
        <v>1135</v>
      </c>
    </row>
    <row r="166" spans="1:8">
      <c r="A166" t="s">
        <v>979</v>
      </c>
      <c r="B166" t="s">
        <v>980</v>
      </c>
      <c r="C166">
        <v>10.7918298</v>
      </c>
      <c r="D166">
        <v>106.70997699999999</v>
      </c>
      <c r="E166" t="s">
        <v>1124</v>
      </c>
      <c r="F166" t="s">
        <v>1133</v>
      </c>
      <c r="G166" t="s">
        <v>1136</v>
      </c>
      <c r="H166" t="s">
        <v>1135</v>
      </c>
    </row>
    <row r="167" spans="1:8">
      <c r="A167" t="s">
        <v>989</v>
      </c>
      <c r="B167" t="s">
        <v>990</v>
      </c>
      <c r="C167">
        <v>10.7972109</v>
      </c>
      <c r="D167">
        <v>106.7056765</v>
      </c>
      <c r="E167" t="s">
        <v>1124</v>
      </c>
      <c r="F167" t="s">
        <v>1138</v>
      </c>
      <c r="G167" t="s">
        <v>1140</v>
      </c>
      <c r="H167" t="s">
        <v>1135</v>
      </c>
    </row>
    <row r="168" spans="1:8">
      <c r="A168" t="s">
        <v>993</v>
      </c>
      <c r="B168" t="s">
        <v>994</v>
      </c>
      <c r="C168">
        <v>10.795128699999999</v>
      </c>
      <c r="D168">
        <v>106.7210912</v>
      </c>
      <c r="E168" t="s">
        <v>1124</v>
      </c>
      <c r="F168" t="s">
        <v>1133</v>
      </c>
      <c r="G168" t="s">
        <v>1136</v>
      </c>
      <c r="H168" t="s">
        <v>1135</v>
      </c>
    </row>
    <row r="169" spans="1:8">
      <c r="A169" t="s">
        <v>998</v>
      </c>
      <c r="B169" t="s">
        <v>999</v>
      </c>
      <c r="C169">
        <v>10.789511299999999</v>
      </c>
      <c r="D169">
        <v>106.7081421</v>
      </c>
      <c r="E169" t="s">
        <v>1124</v>
      </c>
      <c r="F169" t="s">
        <v>1133</v>
      </c>
      <c r="G169" t="s">
        <v>1136</v>
      </c>
      <c r="H169" t="s">
        <v>1135</v>
      </c>
    </row>
    <row r="170" spans="1:8">
      <c r="A170" t="s">
        <v>1004</v>
      </c>
      <c r="B170" t="s">
        <v>1005</v>
      </c>
      <c r="C170">
        <v>10.790663199999999</v>
      </c>
      <c r="D170">
        <v>106.7105803</v>
      </c>
      <c r="E170" t="s">
        <v>1124</v>
      </c>
      <c r="F170" t="s">
        <v>1133</v>
      </c>
      <c r="G170" t="s">
        <v>1136</v>
      </c>
      <c r="H170" t="s">
        <v>1135</v>
      </c>
    </row>
    <row r="171" spans="1:8">
      <c r="A171" t="s">
        <v>1335</v>
      </c>
      <c r="B171" t="s">
        <v>1336</v>
      </c>
      <c r="C171">
        <v>10.7773167</v>
      </c>
      <c r="D171">
        <v>106.6977562</v>
      </c>
      <c r="E171" t="s">
        <v>1123</v>
      </c>
      <c r="F171" t="s">
        <v>1133</v>
      </c>
      <c r="G171" t="s">
        <v>1621</v>
      </c>
    </row>
    <row r="172" spans="1:8">
      <c r="A172" t="s">
        <v>1339</v>
      </c>
      <c r="B172" t="s">
        <v>1340</v>
      </c>
      <c r="C172">
        <v>10.7801253</v>
      </c>
      <c r="D172">
        <v>106.70445789999999</v>
      </c>
      <c r="E172" t="s">
        <v>1123</v>
      </c>
      <c r="F172" t="s">
        <v>1133</v>
      </c>
      <c r="G172" t="s">
        <v>1621</v>
      </c>
    </row>
    <row r="173" spans="1:8">
      <c r="A173" t="s">
        <v>1342</v>
      </c>
      <c r="B173" t="s">
        <v>1343</v>
      </c>
      <c r="C173">
        <v>10.778780599999999</v>
      </c>
      <c r="D173">
        <v>106.6981583</v>
      </c>
      <c r="E173" t="s">
        <v>1123</v>
      </c>
      <c r="F173" t="s">
        <v>1133</v>
      </c>
      <c r="G173" t="s">
        <v>1621</v>
      </c>
    </row>
    <row r="174" spans="1:8">
      <c r="A174" t="s">
        <v>1346</v>
      </c>
      <c r="B174" t="s">
        <v>1347</v>
      </c>
      <c r="C174">
        <v>10.7771971</v>
      </c>
      <c r="D174">
        <v>106.700107</v>
      </c>
      <c r="E174" t="s">
        <v>1123</v>
      </c>
      <c r="F174" t="s">
        <v>1133</v>
      </c>
      <c r="G174" t="s">
        <v>1621</v>
      </c>
    </row>
    <row r="175" spans="1:8">
      <c r="A175" t="s">
        <v>1350</v>
      </c>
      <c r="B175" t="s">
        <v>1351</v>
      </c>
      <c r="C175">
        <v>10.7798149</v>
      </c>
      <c r="D175">
        <v>106.7029294</v>
      </c>
      <c r="E175" t="s">
        <v>1123</v>
      </c>
      <c r="F175" t="s">
        <v>1133</v>
      </c>
      <c r="G175" t="s">
        <v>1621</v>
      </c>
    </row>
    <row r="176" spans="1:8">
      <c r="A176" t="s">
        <v>1354</v>
      </c>
      <c r="B176" t="s">
        <v>1355</v>
      </c>
      <c r="C176">
        <v>10.776173099999999</v>
      </c>
      <c r="D176">
        <v>106.7048075</v>
      </c>
      <c r="E176" t="s">
        <v>1123</v>
      </c>
      <c r="F176" t="s">
        <v>1133</v>
      </c>
      <c r="G176" t="s">
        <v>1621</v>
      </c>
    </row>
    <row r="177" spans="1:7">
      <c r="A177" t="s">
        <v>1358</v>
      </c>
      <c r="B177" t="s">
        <v>1359</v>
      </c>
      <c r="C177">
        <v>10.7791987</v>
      </c>
      <c r="D177">
        <v>106.7005186</v>
      </c>
      <c r="E177" t="s">
        <v>1123</v>
      </c>
      <c r="F177" t="s">
        <v>1133</v>
      </c>
      <c r="G177" t="s">
        <v>1621</v>
      </c>
    </row>
    <row r="178" spans="1:7">
      <c r="A178" t="s">
        <v>1362</v>
      </c>
      <c r="B178" t="s">
        <v>1363</v>
      </c>
      <c r="C178">
        <v>10.7771626</v>
      </c>
      <c r="D178">
        <v>106.70015069999999</v>
      </c>
      <c r="E178" t="s">
        <v>1123</v>
      </c>
      <c r="F178" t="s">
        <v>1133</v>
      </c>
      <c r="G178" t="s">
        <v>1621</v>
      </c>
    </row>
    <row r="179" spans="1:7">
      <c r="A179" t="s">
        <v>1366</v>
      </c>
      <c r="B179" t="s">
        <v>1367</v>
      </c>
      <c r="C179">
        <v>10.7785004</v>
      </c>
      <c r="D179">
        <v>106.70377449999999</v>
      </c>
      <c r="E179" t="s">
        <v>1123</v>
      </c>
      <c r="F179" t="s">
        <v>1133</v>
      </c>
      <c r="G179" t="s">
        <v>1621</v>
      </c>
    </row>
    <row r="180" spans="1:7">
      <c r="A180" t="s">
        <v>1370</v>
      </c>
      <c r="B180" t="s">
        <v>1371</v>
      </c>
      <c r="C180">
        <v>10.777139999999999</v>
      </c>
      <c r="D180">
        <v>106.70423599999999</v>
      </c>
      <c r="E180" t="s">
        <v>1123</v>
      </c>
      <c r="F180" t="s">
        <v>1133</v>
      </c>
      <c r="G180" t="s">
        <v>1621</v>
      </c>
    </row>
    <row r="181" spans="1:7">
      <c r="A181" t="s">
        <v>1374</v>
      </c>
      <c r="B181" t="s">
        <v>1375</v>
      </c>
      <c r="C181">
        <v>10.7787276</v>
      </c>
      <c r="D181">
        <v>106.6980638</v>
      </c>
      <c r="E181" t="s">
        <v>1123</v>
      </c>
      <c r="F181" t="s">
        <v>1133</v>
      </c>
      <c r="G181" t="s">
        <v>1621</v>
      </c>
    </row>
    <row r="182" spans="1:7">
      <c r="A182" t="s">
        <v>1378</v>
      </c>
      <c r="B182" t="s">
        <v>1379</v>
      </c>
      <c r="C182">
        <v>10.7771121</v>
      </c>
      <c r="D182">
        <v>106.70397490000001</v>
      </c>
      <c r="E182" t="s">
        <v>1123</v>
      </c>
      <c r="F182" t="s">
        <v>1133</v>
      </c>
      <c r="G182" t="s">
        <v>1621</v>
      </c>
    </row>
    <row r="183" spans="1:7">
      <c r="A183" t="s">
        <v>1382</v>
      </c>
      <c r="B183" t="s">
        <v>51</v>
      </c>
      <c r="C183">
        <v>10.784419</v>
      </c>
      <c r="D183">
        <v>106.697799</v>
      </c>
      <c r="E183" t="s">
        <v>1123</v>
      </c>
      <c r="F183" t="s">
        <v>1133</v>
      </c>
      <c r="G183" t="s">
        <v>1621</v>
      </c>
    </row>
    <row r="184" spans="1:7">
      <c r="A184" t="s">
        <v>1384</v>
      </c>
      <c r="B184" t="s">
        <v>1385</v>
      </c>
      <c r="C184">
        <v>10.7778086</v>
      </c>
      <c r="D184">
        <v>106.7046515</v>
      </c>
      <c r="E184" t="s">
        <v>1123</v>
      </c>
      <c r="F184" t="s">
        <v>1133</v>
      </c>
      <c r="G184" t="s">
        <v>1621</v>
      </c>
    </row>
    <row r="185" spans="1:7">
      <c r="A185" t="s">
        <v>1389</v>
      </c>
      <c r="B185" t="s">
        <v>1390</v>
      </c>
      <c r="C185">
        <v>10.778228</v>
      </c>
      <c r="D185">
        <v>106.6990193</v>
      </c>
      <c r="E185" t="s">
        <v>1123</v>
      </c>
      <c r="F185" t="s">
        <v>1133</v>
      </c>
      <c r="G185" t="s">
        <v>1621</v>
      </c>
    </row>
    <row r="186" spans="1:7">
      <c r="A186" t="s">
        <v>1393</v>
      </c>
      <c r="B186" t="s">
        <v>1394</v>
      </c>
      <c r="C186">
        <v>10.780241800000001</v>
      </c>
      <c r="D186">
        <v>106.7046589</v>
      </c>
      <c r="E186" t="s">
        <v>1123</v>
      </c>
      <c r="F186" t="s">
        <v>1133</v>
      </c>
      <c r="G186" t="s">
        <v>1621</v>
      </c>
    </row>
    <row r="187" spans="1:7">
      <c r="A187" t="s">
        <v>1397</v>
      </c>
      <c r="B187" t="s">
        <v>1398</v>
      </c>
      <c r="C187">
        <v>10.775725899999999</v>
      </c>
      <c r="D187">
        <v>106.70378100000001</v>
      </c>
      <c r="E187" t="s">
        <v>1123</v>
      </c>
      <c r="F187" t="s">
        <v>1133</v>
      </c>
      <c r="G187" t="s">
        <v>1621</v>
      </c>
    </row>
    <row r="188" spans="1:7">
      <c r="A188" t="s">
        <v>1401</v>
      </c>
      <c r="B188" t="s">
        <v>1402</v>
      </c>
      <c r="C188">
        <v>10.7785192</v>
      </c>
      <c r="D188">
        <v>106.6981803</v>
      </c>
      <c r="E188" t="s">
        <v>1123</v>
      </c>
      <c r="F188" t="s">
        <v>1133</v>
      </c>
      <c r="G188" t="s">
        <v>1621</v>
      </c>
    </row>
    <row r="189" spans="1:7">
      <c r="A189" t="s">
        <v>1405</v>
      </c>
      <c r="B189" t="s">
        <v>1406</v>
      </c>
      <c r="C189">
        <v>10.776731</v>
      </c>
      <c r="D189">
        <v>106.7047843</v>
      </c>
      <c r="E189" t="s">
        <v>1123</v>
      </c>
      <c r="F189" t="s">
        <v>1133</v>
      </c>
      <c r="G189" t="s">
        <v>1621</v>
      </c>
    </row>
    <row r="190" spans="1:7">
      <c r="A190" t="s">
        <v>1409</v>
      </c>
      <c r="B190" t="s">
        <v>1410</v>
      </c>
      <c r="C190">
        <v>10.776560099999999</v>
      </c>
      <c r="D190">
        <v>106.7049095</v>
      </c>
      <c r="E190" t="s">
        <v>1123</v>
      </c>
      <c r="F190" t="s">
        <v>1133</v>
      </c>
      <c r="G190" t="s">
        <v>1621</v>
      </c>
    </row>
    <row r="191" spans="1:7">
      <c r="A191" t="s">
        <v>1413</v>
      </c>
      <c r="B191" t="s">
        <v>1414</v>
      </c>
      <c r="C191">
        <v>10.777253099999999</v>
      </c>
      <c r="D191">
        <v>106.7002681</v>
      </c>
      <c r="E191" t="s">
        <v>1123</v>
      </c>
      <c r="F191" t="s">
        <v>1133</v>
      </c>
      <c r="G191" t="s">
        <v>1621</v>
      </c>
    </row>
    <row r="192" spans="1:7">
      <c r="A192" t="s">
        <v>1417</v>
      </c>
      <c r="B192" t="s">
        <v>1418</v>
      </c>
      <c r="C192">
        <v>10.779879899999999</v>
      </c>
      <c r="D192">
        <v>106.70295160000001</v>
      </c>
      <c r="E192" t="s">
        <v>1123</v>
      </c>
      <c r="F192" t="s">
        <v>1133</v>
      </c>
      <c r="G192" t="s">
        <v>1621</v>
      </c>
    </row>
    <row r="193" spans="1:7">
      <c r="A193" t="s">
        <v>1421</v>
      </c>
      <c r="B193" t="s">
        <v>1422</v>
      </c>
      <c r="C193">
        <v>10.7757948</v>
      </c>
      <c r="D193">
        <v>106.7049791</v>
      </c>
      <c r="E193" t="s">
        <v>1123</v>
      </c>
      <c r="F193" t="s">
        <v>1133</v>
      </c>
      <c r="G193" t="s">
        <v>1621</v>
      </c>
    </row>
    <row r="194" spans="1:7">
      <c r="A194" t="s">
        <v>1425</v>
      </c>
      <c r="B194" t="s">
        <v>1426</v>
      </c>
      <c r="C194">
        <v>10.777335799999999</v>
      </c>
      <c r="D194">
        <v>106.6999711</v>
      </c>
      <c r="E194" t="s">
        <v>1123</v>
      </c>
      <c r="F194" t="s">
        <v>1133</v>
      </c>
      <c r="G194" t="s">
        <v>1621</v>
      </c>
    </row>
    <row r="195" spans="1:7">
      <c r="A195" t="s">
        <v>1429</v>
      </c>
      <c r="B195" t="s">
        <v>1430</v>
      </c>
      <c r="C195">
        <v>10.779872900000001</v>
      </c>
      <c r="D195">
        <v>106.70419769999999</v>
      </c>
      <c r="E195" t="s">
        <v>1123</v>
      </c>
      <c r="F195" t="s">
        <v>1133</v>
      </c>
      <c r="G195" t="s">
        <v>1621</v>
      </c>
    </row>
    <row r="196" spans="1:7">
      <c r="A196" t="s">
        <v>1433</v>
      </c>
      <c r="B196" t="s">
        <v>1434</v>
      </c>
      <c r="C196">
        <v>10.778821000000001</v>
      </c>
      <c r="D196">
        <v>106.704387</v>
      </c>
      <c r="E196" t="s">
        <v>1123</v>
      </c>
      <c r="F196" t="s">
        <v>1133</v>
      </c>
      <c r="G196" t="s">
        <v>1621</v>
      </c>
    </row>
    <row r="197" spans="1:7">
      <c r="A197" t="s">
        <v>1437</v>
      </c>
      <c r="B197" t="s">
        <v>1438</v>
      </c>
      <c r="C197">
        <v>10.779974599999999</v>
      </c>
      <c r="D197">
        <v>106.7034214</v>
      </c>
      <c r="E197" t="s">
        <v>1123</v>
      </c>
      <c r="F197" t="s">
        <v>1133</v>
      </c>
      <c r="G197" t="s">
        <v>1621</v>
      </c>
    </row>
    <row r="198" spans="1:7">
      <c r="A198" t="s">
        <v>1441</v>
      </c>
      <c r="B198" t="s">
        <v>1442</v>
      </c>
      <c r="C198">
        <v>10.7798313</v>
      </c>
      <c r="D198">
        <v>106.7043948</v>
      </c>
      <c r="E198" t="s">
        <v>1123</v>
      </c>
      <c r="F198" t="s">
        <v>1133</v>
      </c>
      <c r="G198" t="s">
        <v>1621</v>
      </c>
    </row>
    <row r="199" spans="1:7">
      <c r="A199" t="s">
        <v>1444</v>
      </c>
      <c r="B199" t="s">
        <v>1445</v>
      </c>
      <c r="C199">
        <v>10.77901</v>
      </c>
      <c r="D199">
        <v>106.704562</v>
      </c>
      <c r="E199" t="s">
        <v>1123</v>
      </c>
      <c r="F199" t="s">
        <v>1133</v>
      </c>
      <c r="G199" t="s">
        <v>1621</v>
      </c>
    </row>
    <row r="200" spans="1:7">
      <c r="A200" t="s">
        <v>1448</v>
      </c>
      <c r="B200" t="s">
        <v>1449</v>
      </c>
      <c r="C200">
        <v>10.7787636</v>
      </c>
      <c r="D200">
        <v>106.7027829</v>
      </c>
      <c r="E200" t="s">
        <v>1123</v>
      </c>
      <c r="F200" t="s">
        <v>1133</v>
      </c>
      <c r="G200" t="s">
        <v>1621</v>
      </c>
    </row>
    <row r="201" spans="1:7">
      <c r="A201" t="s">
        <v>1452</v>
      </c>
      <c r="B201" t="s">
        <v>1453</v>
      </c>
      <c r="C201">
        <v>10.7782614</v>
      </c>
      <c r="D201">
        <v>106.6984487</v>
      </c>
      <c r="E201" t="s">
        <v>1123</v>
      </c>
      <c r="F201" t="s">
        <v>1133</v>
      </c>
      <c r="G201" t="s">
        <v>1621</v>
      </c>
    </row>
    <row r="202" spans="1:7">
      <c r="A202" t="s">
        <v>1456</v>
      </c>
      <c r="B202" t="s">
        <v>1457</v>
      </c>
      <c r="C202">
        <v>10.7799751</v>
      </c>
      <c r="D202">
        <v>106.7043106</v>
      </c>
      <c r="E202" t="s">
        <v>1123</v>
      </c>
      <c r="F202" t="s">
        <v>1133</v>
      </c>
      <c r="G202" t="s">
        <v>1621</v>
      </c>
    </row>
    <row r="203" spans="1:7">
      <c r="A203" t="s">
        <v>1460</v>
      </c>
      <c r="B203" t="s">
        <v>1461</v>
      </c>
      <c r="C203">
        <v>10.7799122</v>
      </c>
      <c r="D203">
        <v>106.7045026</v>
      </c>
      <c r="E203" t="s">
        <v>1123</v>
      </c>
      <c r="F203" t="s">
        <v>1133</v>
      </c>
      <c r="G203" t="s">
        <v>1621</v>
      </c>
    </row>
    <row r="204" spans="1:7">
      <c r="A204" t="s">
        <v>1463</v>
      </c>
      <c r="B204" t="s">
        <v>1464</v>
      </c>
      <c r="C204">
        <v>10.7763495</v>
      </c>
      <c r="D204">
        <v>106.7023643</v>
      </c>
      <c r="E204" t="s">
        <v>1123</v>
      </c>
      <c r="F204" t="s">
        <v>1133</v>
      </c>
      <c r="G204" t="s">
        <v>1621</v>
      </c>
    </row>
    <row r="205" spans="1:7">
      <c r="A205" t="s">
        <v>1467</v>
      </c>
      <c r="B205" t="s">
        <v>1468</v>
      </c>
      <c r="C205">
        <v>10.7800639</v>
      </c>
      <c r="D205">
        <v>106.6994983</v>
      </c>
      <c r="E205" t="s">
        <v>1123</v>
      </c>
      <c r="F205" t="s">
        <v>1133</v>
      </c>
      <c r="G205" t="s">
        <v>1621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DCB7-EA42-4CA5-9915-29F21DB88935}">
  <dimension ref="A1:L205"/>
  <sheetViews>
    <sheetView zoomScale="70" zoomScaleNormal="70" workbookViewId="0">
      <selection activeCell="B1" sqref="B1"/>
    </sheetView>
  </sheetViews>
  <sheetFormatPr defaultRowHeight="15"/>
  <cols>
    <col min="1" max="2" width="81.140625" bestFit="1" customWidth="1"/>
    <col min="3" max="3" width="14.42578125" bestFit="1" customWidth="1"/>
    <col min="4" max="4" width="16.42578125" bestFit="1" customWidth="1"/>
    <col min="5" max="5" width="23" bestFit="1" customWidth="1"/>
    <col min="6" max="6" width="27.7109375" bestFit="1" customWidth="1"/>
    <col min="7" max="7" width="63.85546875" bestFit="1" customWidth="1"/>
    <col min="8" max="8" width="27.140625" bestFit="1" customWidth="1"/>
    <col min="9" max="9" width="17.85546875" bestFit="1" customWidth="1"/>
    <col min="10" max="10" width="39.28515625" bestFit="1" customWidth="1"/>
    <col min="11" max="11" width="25.42578125" bestFit="1" customWidth="1"/>
    <col min="12" max="12" width="76.28515625" bestFit="1" customWidth="1"/>
  </cols>
  <sheetData>
    <row r="1" spans="1:12">
      <c r="A1" t="s">
        <v>1008</v>
      </c>
      <c r="B1" t="s">
        <v>1009</v>
      </c>
      <c r="C1" t="s">
        <v>1120</v>
      </c>
      <c r="D1" t="s">
        <v>1121</v>
      </c>
      <c r="E1" t="s">
        <v>1122</v>
      </c>
      <c r="F1" t="s">
        <v>1130</v>
      </c>
      <c r="G1" t="s">
        <v>1131</v>
      </c>
      <c r="H1" t="s">
        <v>1132</v>
      </c>
      <c r="I1" t="s">
        <v>1267</v>
      </c>
      <c r="J1" t="s">
        <v>1268</v>
      </c>
      <c r="K1" t="s">
        <v>1269</v>
      </c>
      <c r="L1" t="s">
        <v>1270</v>
      </c>
    </row>
    <row r="2" spans="1:12">
      <c r="A2" t="s">
        <v>19</v>
      </c>
      <c r="B2" t="s">
        <v>20</v>
      </c>
      <c r="C2">
        <v>10.7810504</v>
      </c>
      <c r="D2">
        <v>106.7061501</v>
      </c>
      <c r="E2" t="s">
        <v>1123</v>
      </c>
      <c r="F2" t="s">
        <v>1133</v>
      </c>
      <c r="G2" t="s">
        <v>1134</v>
      </c>
      <c r="H2" t="s">
        <v>1135</v>
      </c>
      <c r="I2" t="s">
        <v>1252</v>
      </c>
      <c r="J2" t="s">
        <v>1271</v>
      </c>
      <c r="K2" t="s">
        <v>1138</v>
      </c>
      <c r="L2" t="s">
        <v>1272</v>
      </c>
    </row>
    <row r="3" spans="1:12">
      <c r="A3" t="s">
        <v>32</v>
      </c>
      <c r="B3" t="s">
        <v>33</v>
      </c>
      <c r="C3">
        <v>10.7813151</v>
      </c>
      <c r="D3">
        <v>106.7055893</v>
      </c>
      <c r="E3" t="s">
        <v>1123</v>
      </c>
      <c r="F3" t="s">
        <v>1133</v>
      </c>
      <c r="G3" t="s">
        <v>1134</v>
      </c>
      <c r="H3" t="s">
        <v>1135</v>
      </c>
      <c r="I3" t="s">
        <v>1252</v>
      </c>
      <c r="J3" t="s">
        <v>1271</v>
      </c>
      <c r="K3" t="s">
        <v>1138</v>
      </c>
      <c r="L3" t="s">
        <v>1272</v>
      </c>
    </row>
    <row r="4" spans="1:12">
      <c r="A4" t="s">
        <v>43</v>
      </c>
      <c r="B4" t="s">
        <v>44</v>
      </c>
      <c r="C4">
        <v>10.785137499999999</v>
      </c>
      <c r="D4">
        <v>106.6999919</v>
      </c>
      <c r="E4" t="s">
        <v>1123</v>
      </c>
      <c r="F4" t="s">
        <v>1133</v>
      </c>
      <c r="G4" t="s">
        <v>1134</v>
      </c>
      <c r="H4" t="s">
        <v>1135</v>
      </c>
      <c r="I4" t="s">
        <v>1253</v>
      </c>
      <c r="J4" t="s">
        <v>1273</v>
      </c>
      <c r="K4" t="s">
        <v>1133</v>
      </c>
      <c r="L4" t="s">
        <v>1274</v>
      </c>
    </row>
    <row r="5" spans="1:12">
      <c r="A5" t="s">
        <v>50</v>
      </c>
      <c r="B5" t="s">
        <v>51</v>
      </c>
      <c r="C5">
        <v>10.7733531</v>
      </c>
      <c r="D5">
        <v>106.7038615</v>
      </c>
      <c r="E5" t="s">
        <v>1123</v>
      </c>
      <c r="F5" t="s">
        <v>1133</v>
      </c>
      <c r="G5" t="s">
        <v>1134</v>
      </c>
      <c r="H5" t="s">
        <v>1135</v>
      </c>
      <c r="I5" t="s">
        <v>1251</v>
      </c>
      <c r="J5" t="s">
        <v>1275</v>
      </c>
      <c r="K5" t="s">
        <v>1138</v>
      </c>
      <c r="L5" t="s">
        <v>1272</v>
      </c>
    </row>
    <row r="6" spans="1:12">
      <c r="A6" t="s">
        <v>59</v>
      </c>
      <c r="B6" t="s">
        <v>51</v>
      </c>
      <c r="C6">
        <v>10.7844192</v>
      </c>
      <c r="D6">
        <v>106.6977993</v>
      </c>
      <c r="E6" t="s">
        <v>1123</v>
      </c>
      <c r="F6" t="s">
        <v>1133</v>
      </c>
      <c r="G6" t="s">
        <v>1134</v>
      </c>
      <c r="H6" t="s">
        <v>1135</v>
      </c>
      <c r="I6" t="s">
        <v>1253</v>
      </c>
      <c r="J6" t="s">
        <v>1273</v>
      </c>
      <c r="K6" t="s">
        <v>1138</v>
      </c>
      <c r="L6" t="s">
        <v>1272</v>
      </c>
    </row>
    <row r="7" spans="1:12">
      <c r="A7" t="s">
        <v>64</v>
      </c>
      <c r="B7" t="s">
        <v>65</v>
      </c>
      <c r="C7">
        <v>10.774103</v>
      </c>
      <c r="D7">
        <v>106.7041327</v>
      </c>
      <c r="E7" t="s">
        <v>1123</v>
      </c>
      <c r="F7" t="s">
        <v>1133</v>
      </c>
      <c r="G7" t="s">
        <v>1134</v>
      </c>
      <c r="H7" t="s">
        <v>1135</v>
      </c>
      <c r="I7" t="s">
        <v>1252</v>
      </c>
      <c r="J7" t="s">
        <v>1271</v>
      </c>
      <c r="K7" t="s">
        <v>1138</v>
      </c>
      <c r="L7" t="s">
        <v>1272</v>
      </c>
    </row>
    <row r="8" spans="1:12">
      <c r="A8" t="s">
        <v>71</v>
      </c>
      <c r="B8" t="s">
        <v>72</v>
      </c>
      <c r="C8">
        <v>10.778430999999999</v>
      </c>
      <c r="D8">
        <v>106.699046</v>
      </c>
      <c r="E8" t="s">
        <v>1123</v>
      </c>
      <c r="F8" t="s">
        <v>1133</v>
      </c>
      <c r="G8" t="s">
        <v>1134</v>
      </c>
      <c r="H8" t="s">
        <v>1135</v>
      </c>
      <c r="I8" t="s">
        <v>1248</v>
      </c>
      <c r="J8" t="s">
        <v>1276</v>
      </c>
      <c r="K8" t="s">
        <v>1138</v>
      </c>
      <c r="L8" t="s">
        <v>1272</v>
      </c>
    </row>
    <row r="9" spans="1:12">
      <c r="A9" t="s">
        <v>79</v>
      </c>
      <c r="B9" t="s">
        <v>80</v>
      </c>
      <c r="C9">
        <v>10.793559</v>
      </c>
      <c r="D9">
        <v>106.686756</v>
      </c>
      <c r="E9" t="s">
        <v>1123</v>
      </c>
      <c r="F9" t="s">
        <v>1133</v>
      </c>
      <c r="G9" t="s">
        <v>1134</v>
      </c>
      <c r="H9" t="s">
        <v>1135</v>
      </c>
      <c r="I9" t="s">
        <v>1250</v>
      </c>
      <c r="J9" t="s">
        <v>1277</v>
      </c>
      <c r="K9" t="s">
        <v>1138</v>
      </c>
      <c r="L9" t="s">
        <v>1272</v>
      </c>
    </row>
    <row r="10" spans="1:12">
      <c r="A10" t="s">
        <v>85</v>
      </c>
      <c r="B10" t="s">
        <v>86</v>
      </c>
      <c r="C10">
        <v>10.7741206</v>
      </c>
      <c r="D10">
        <v>106.6975015</v>
      </c>
      <c r="E10" t="s">
        <v>1123</v>
      </c>
      <c r="F10" t="s">
        <v>1133</v>
      </c>
      <c r="G10" t="s">
        <v>1134</v>
      </c>
      <c r="H10" t="s">
        <v>1135</v>
      </c>
      <c r="I10" t="s">
        <v>1248</v>
      </c>
      <c r="J10" t="s">
        <v>1276</v>
      </c>
      <c r="K10" t="s">
        <v>1133</v>
      </c>
      <c r="L10" t="s">
        <v>1278</v>
      </c>
    </row>
    <row r="11" spans="1:12">
      <c r="A11" t="s">
        <v>92</v>
      </c>
      <c r="B11" t="s">
        <v>93</v>
      </c>
      <c r="C11">
        <v>10.7886858</v>
      </c>
      <c r="D11">
        <v>106.7087982</v>
      </c>
      <c r="E11" t="s">
        <v>1124</v>
      </c>
      <c r="F11" t="s">
        <v>1133</v>
      </c>
      <c r="G11" t="s">
        <v>1622</v>
      </c>
      <c r="H11" t="s">
        <v>1135</v>
      </c>
      <c r="I11" t="s">
        <v>1257</v>
      </c>
      <c r="J11" t="s">
        <v>1279</v>
      </c>
      <c r="K11" t="s">
        <v>1133</v>
      </c>
      <c r="L11" t="s">
        <v>1623</v>
      </c>
    </row>
    <row r="12" spans="1:12">
      <c r="A12" t="s">
        <v>100</v>
      </c>
      <c r="B12" t="s">
        <v>101</v>
      </c>
      <c r="C12">
        <v>10.790118</v>
      </c>
      <c r="D12">
        <v>106.7112413</v>
      </c>
      <c r="E12" t="s">
        <v>1124</v>
      </c>
      <c r="F12" t="s">
        <v>1133</v>
      </c>
      <c r="G12" t="s">
        <v>1622</v>
      </c>
      <c r="H12" t="s">
        <v>1135</v>
      </c>
      <c r="I12" t="s">
        <v>1257</v>
      </c>
      <c r="J12" t="s">
        <v>1279</v>
      </c>
      <c r="K12" t="s">
        <v>1133</v>
      </c>
      <c r="L12" t="s">
        <v>1623</v>
      </c>
    </row>
    <row r="13" spans="1:12">
      <c r="A13" t="s">
        <v>107</v>
      </c>
      <c r="B13" t="s">
        <v>108</v>
      </c>
      <c r="C13">
        <v>10.788874099999999</v>
      </c>
      <c r="D13">
        <v>106.6916512</v>
      </c>
      <c r="E13" t="s">
        <v>1123</v>
      </c>
      <c r="F13" t="s">
        <v>1133</v>
      </c>
      <c r="G13" t="s">
        <v>1134</v>
      </c>
      <c r="H13" t="s">
        <v>1135</v>
      </c>
      <c r="I13" t="s">
        <v>1250</v>
      </c>
      <c r="J13" t="s">
        <v>1277</v>
      </c>
      <c r="K13" t="s">
        <v>1138</v>
      </c>
      <c r="L13" t="s">
        <v>1272</v>
      </c>
    </row>
    <row r="14" spans="1:12">
      <c r="A14" t="s">
        <v>113</v>
      </c>
      <c r="B14" t="s">
        <v>114</v>
      </c>
      <c r="C14">
        <v>10.7890301</v>
      </c>
      <c r="D14">
        <v>106.6908913</v>
      </c>
      <c r="E14" t="s">
        <v>1123</v>
      </c>
      <c r="F14" t="s">
        <v>1133</v>
      </c>
      <c r="G14" t="s">
        <v>1134</v>
      </c>
      <c r="H14" t="s">
        <v>1135</v>
      </c>
      <c r="I14" t="s">
        <v>1250</v>
      </c>
      <c r="J14" t="s">
        <v>1277</v>
      </c>
      <c r="K14" t="s">
        <v>1138</v>
      </c>
      <c r="L14" t="s">
        <v>1272</v>
      </c>
    </row>
    <row r="15" spans="1:12">
      <c r="A15" t="s">
        <v>118</v>
      </c>
      <c r="B15" t="s">
        <v>119</v>
      </c>
      <c r="C15">
        <v>10.778611400000001</v>
      </c>
      <c r="D15">
        <v>106.6920676</v>
      </c>
      <c r="E15" t="s">
        <v>1125</v>
      </c>
      <c r="F15" t="s">
        <v>1133</v>
      </c>
      <c r="G15" t="s">
        <v>1137</v>
      </c>
      <c r="H15" t="s">
        <v>1135</v>
      </c>
      <c r="I15" t="s">
        <v>1260</v>
      </c>
      <c r="J15" t="s">
        <v>1280</v>
      </c>
      <c r="K15" t="s">
        <v>1138</v>
      </c>
      <c r="L15" t="s">
        <v>1272</v>
      </c>
    </row>
    <row r="16" spans="1:12">
      <c r="A16" t="s">
        <v>124</v>
      </c>
      <c r="B16" t="s">
        <v>125</v>
      </c>
      <c r="C16">
        <v>10.7842945</v>
      </c>
      <c r="D16">
        <v>106.7057539</v>
      </c>
      <c r="E16" t="s">
        <v>1123</v>
      </c>
      <c r="F16" t="s">
        <v>1133</v>
      </c>
      <c r="G16" t="s">
        <v>1134</v>
      </c>
      <c r="H16" t="s">
        <v>1135</v>
      </c>
      <c r="I16" t="s">
        <v>1252</v>
      </c>
      <c r="J16" t="s">
        <v>1271</v>
      </c>
      <c r="K16" t="s">
        <v>1138</v>
      </c>
      <c r="L16" t="s">
        <v>1272</v>
      </c>
    </row>
    <row r="17" spans="1:12">
      <c r="A17" t="s">
        <v>133</v>
      </c>
      <c r="B17" t="s">
        <v>134</v>
      </c>
      <c r="C17">
        <v>10.7863279</v>
      </c>
      <c r="D17">
        <v>106.6946945</v>
      </c>
      <c r="E17" t="s">
        <v>1123</v>
      </c>
      <c r="F17" t="s">
        <v>1133</v>
      </c>
      <c r="G17" t="s">
        <v>1134</v>
      </c>
      <c r="H17" t="s">
        <v>1135</v>
      </c>
      <c r="I17" t="s">
        <v>1253</v>
      </c>
      <c r="J17" t="s">
        <v>1273</v>
      </c>
      <c r="K17" t="s">
        <v>1138</v>
      </c>
      <c r="L17" t="s">
        <v>1272</v>
      </c>
    </row>
    <row r="18" spans="1:12">
      <c r="A18" t="s">
        <v>140</v>
      </c>
      <c r="B18" t="s">
        <v>141</v>
      </c>
      <c r="C18">
        <v>10.7797526</v>
      </c>
      <c r="D18">
        <v>106.6855053</v>
      </c>
      <c r="E18" t="s">
        <v>1125</v>
      </c>
      <c r="F18" t="s">
        <v>1133</v>
      </c>
      <c r="G18" t="s">
        <v>1137</v>
      </c>
      <c r="H18" t="s">
        <v>1135</v>
      </c>
      <c r="I18" t="s">
        <v>1260</v>
      </c>
      <c r="J18" t="s">
        <v>1280</v>
      </c>
      <c r="K18" t="s">
        <v>1138</v>
      </c>
      <c r="L18" t="s">
        <v>1272</v>
      </c>
    </row>
    <row r="19" spans="1:12">
      <c r="A19" t="s">
        <v>146</v>
      </c>
      <c r="B19" t="s">
        <v>147</v>
      </c>
      <c r="C19">
        <v>10.7890657</v>
      </c>
      <c r="D19">
        <v>106.6921263</v>
      </c>
      <c r="E19" t="s">
        <v>1125</v>
      </c>
      <c r="F19" t="s">
        <v>1138</v>
      </c>
      <c r="G19" t="s">
        <v>1139</v>
      </c>
      <c r="H19" t="s">
        <v>1135</v>
      </c>
      <c r="I19" t="s">
        <v>1260</v>
      </c>
      <c r="J19" t="s">
        <v>1280</v>
      </c>
      <c r="K19" t="s">
        <v>1138</v>
      </c>
      <c r="L19" t="s">
        <v>1272</v>
      </c>
    </row>
    <row r="20" spans="1:12">
      <c r="A20" t="s">
        <v>151</v>
      </c>
      <c r="B20" t="s">
        <v>152</v>
      </c>
      <c r="C20">
        <v>10.7795135</v>
      </c>
      <c r="D20">
        <v>106.7026522</v>
      </c>
      <c r="E20" t="s">
        <v>1123</v>
      </c>
      <c r="F20" t="s">
        <v>1133</v>
      </c>
      <c r="G20" t="s">
        <v>1134</v>
      </c>
      <c r="H20" t="s">
        <v>1135</v>
      </c>
      <c r="I20" t="s">
        <v>1252</v>
      </c>
      <c r="J20" t="s">
        <v>1271</v>
      </c>
      <c r="K20" t="s">
        <v>1138</v>
      </c>
      <c r="L20" t="s">
        <v>1272</v>
      </c>
    </row>
    <row r="21" spans="1:12">
      <c r="A21" t="s">
        <v>157</v>
      </c>
      <c r="B21" t="s">
        <v>158</v>
      </c>
      <c r="C21">
        <v>10.7753458</v>
      </c>
      <c r="D21">
        <v>106.70291810000001</v>
      </c>
      <c r="E21" t="s">
        <v>1123</v>
      </c>
      <c r="F21" t="s">
        <v>1133</v>
      </c>
      <c r="G21" t="s">
        <v>1134</v>
      </c>
      <c r="H21" t="s">
        <v>1135</v>
      </c>
      <c r="I21" t="s">
        <v>1252</v>
      </c>
      <c r="J21" t="s">
        <v>1271</v>
      </c>
      <c r="K21" t="s">
        <v>1138</v>
      </c>
      <c r="L21" t="s">
        <v>1272</v>
      </c>
    </row>
    <row r="22" spans="1:12">
      <c r="A22" t="s">
        <v>163</v>
      </c>
      <c r="B22" t="s">
        <v>164</v>
      </c>
      <c r="C22">
        <v>10.778862800000001</v>
      </c>
      <c r="D22">
        <v>106.6920523</v>
      </c>
      <c r="E22" t="s">
        <v>1125</v>
      </c>
      <c r="F22" t="s">
        <v>1133</v>
      </c>
      <c r="G22" t="s">
        <v>1137</v>
      </c>
      <c r="H22" t="s">
        <v>1135</v>
      </c>
      <c r="I22" t="s">
        <v>1260</v>
      </c>
      <c r="J22" t="s">
        <v>1280</v>
      </c>
      <c r="K22" t="s">
        <v>1138</v>
      </c>
      <c r="L22" t="s">
        <v>1272</v>
      </c>
    </row>
    <row r="23" spans="1:12">
      <c r="A23" t="s">
        <v>170</v>
      </c>
      <c r="B23" t="s">
        <v>171</v>
      </c>
      <c r="C23">
        <v>10.786214599999999</v>
      </c>
      <c r="D23">
        <v>106.70115509999999</v>
      </c>
      <c r="E23" t="s">
        <v>1123</v>
      </c>
      <c r="F23" t="s">
        <v>1133</v>
      </c>
      <c r="G23" t="s">
        <v>1134</v>
      </c>
      <c r="H23" t="s">
        <v>1135</v>
      </c>
      <c r="I23" t="s">
        <v>1253</v>
      </c>
      <c r="J23" t="s">
        <v>1273</v>
      </c>
      <c r="K23" t="s">
        <v>1138</v>
      </c>
      <c r="L23" t="s">
        <v>1272</v>
      </c>
    </row>
    <row r="24" spans="1:12">
      <c r="A24" t="s">
        <v>176</v>
      </c>
      <c r="B24" t="s">
        <v>177</v>
      </c>
      <c r="C24">
        <v>10.7781582</v>
      </c>
      <c r="D24">
        <v>106.69065999999999</v>
      </c>
      <c r="E24" t="s">
        <v>1125</v>
      </c>
      <c r="F24" t="s">
        <v>1133</v>
      </c>
      <c r="G24" t="s">
        <v>1137</v>
      </c>
      <c r="H24" t="s">
        <v>1135</v>
      </c>
      <c r="I24" t="s">
        <v>1260</v>
      </c>
      <c r="J24" t="s">
        <v>1280</v>
      </c>
      <c r="K24" t="s">
        <v>1133</v>
      </c>
      <c r="L24" t="s">
        <v>1281</v>
      </c>
    </row>
    <row r="25" spans="1:12">
      <c r="A25" t="s">
        <v>181</v>
      </c>
      <c r="B25" t="s">
        <v>182</v>
      </c>
      <c r="C25">
        <v>10.7914651</v>
      </c>
      <c r="D25">
        <v>106.70489860000001</v>
      </c>
      <c r="E25" t="s">
        <v>1124</v>
      </c>
      <c r="F25" t="s">
        <v>1133</v>
      </c>
      <c r="G25" t="s">
        <v>1622</v>
      </c>
      <c r="H25" t="s">
        <v>1135</v>
      </c>
      <c r="I25" t="s">
        <v>1624</v>
      </c>
      <c r="J25" t="s">
        <v>1625</v>
      </c>
      <c r="K25" t="s">
        <v>1133</v>
      </c>
      <c r="L25" t="s">
        <v>1623</v>
      </c>
    </row>
    <row r="26" spans="1:12">
      <c r="A26" t="s">
        <v>188</v>
      </c>
      <c r="B26" t="s">
        <v>189</v>
      </c>
      <c r="C26">
        <v>10.7721026</v>
      </c>
      <c r="D26">
        <v>106.6941655</v>
      </c>
      <c r="E26" t="s">
        <v>1123</v>
      </c>
      <c r="F26" t="s">
        <v>1133</v>
      </c>
      <c r="G26" t="s">
        <v>1134</v>
      </c>
      <c r="H26" t="s">
        <v>1135</v>
      </c>
      <c r="I26" t="s">
        <v>1249</v>
      </c>
      <c r="J26" t="s">
        <v>1282</v>
      </c>
      <c r="K26" t="s">
        <v>1138</v>
      </c>
      <c r="L26" t="s">
        <v>1272</v>
      </c>
    </row>
    <row r="27" spans="1:12">
      <c r="A27" t="s">
        <v>195</v>
      </c>
      <c r="B27" t="s">
        <v>196</v>
      </c>
      <c r="C27">
        <v>10.774217999999999</v>
      </c>
      <c r="D27">
        <v>106.69660589999999</v>
      </c>
      <c r="E27" t="s">
        <v>1123</v>
      </c>
      <c r="F27" t="s">
        <v>1133</v>
      </c>
      <c r="G27" t="s">
        <v>1134</v>
      </c>
      <c r="H27" t="s">
        <v>1135</v>
      </c>
      <c r="I27" t="s">
        <v>1248</v>
      </c>
      <c r="J27" t="s">
        <v>1276</v>
      </c>
      <c r="K27" t="s">
        <v>1138</v>
      </c>
      <c r="L27" t="s">
        <v>1272</v>
      </c>
    </row>
    <row r="28" spans="1:12">
      <c r="A28" t="s">
        <v>200</v>
      </c>
      <c r="B28" t="s">
        <v>201</v>
      </c>
      <c r="C28">
        <v>10.786464</v>
      </c>
      <c r="D28">
        <v>106.694317</v>
      </c>
      <c r="E28" t="s">
        <v>1123</v>
      </c>
      <c r="F28" t="s">
        <v>1138</v>
      </c>
      <c r="G28" t="s">
        <v>1141</v>
      </c>
      <c r="H28" t="s">
        <v>1135</v>
      </c>
      <c r="I28" t="s">
        <v>1253</v>
      </c>
      <c r="J28" t="s">
        <v>1273</v>
      </c>
      <c r="K28" t="s">
        <v>1138</v>
      </c>
      <c r="L28" t="s">
        <v>1272</v>
      </c>
    </row>
    <row r="29" spans="1:12">
      <c r="A29" t="s">
        <v>205</v>
      </c>
      <c r="B29" t="s">
        <v>206</v>
      </c>
      <c r="C29">
        <v>10.787003</v>
      </c>
      <c r="D29">
        <v>106.6923163</v>
      </c>
      <c r="E29" t="s">
        <v>1125</v>
      </c>
      <c r="F29" t="s">
        <v>1133</v>
      </c>
      <c r="G29" t="s">
        <v>1137</v>
      </c>
      <c r="H29" t="s">
        <v>1135</v>
      </c>
      <c r="I29" t="s">
        <v>1260</v>
      </c>
      <c r="J29" t="s">
        <v>1280</v>
      </c>
      <c r="K29" t="s">
        <v>1138</v>
      </c>
      <c r="L29" t="s">
        <v>1272</v>
      </c>
    </row>
    <row r="30" spans="1:12">
      <c r="A30" t="s">
        <v>211</v>
      </c>
      <c r="B30" t="s">
        <v>212</v>
      </c>
      <c r="C30">
        <v>10.7753458</v>
      </c>
      <c r="D30">
        <v>106.6902814</v>
      </c>
      <c r="E30" t="s">
        <v>1125</v>
      </c>
      <c r="F30" t="s">
        <v>1133</v>
      </c>
      <c r="G30" t="s">
        <v>1622</v>
      </c>
      <c r="H30" t="s">
        <v>1135</v>
      </c>
      <c r="I30" t="s">
        <v>1260</v>
      </c>
      <c r="J30" t="s">
        <v>1280</v>
      </c>
      <c r="K30" t="s">
        <v>1133</v>
      </c>
      <c r="L30" t="s">
        <v>1626</v>
      </c>
    </row>
    <row r="31" spans="1:12">
      <c r="A31" t="s">
        <v>217</v>
      </c>
      <c r="B31" t="s">
        <v>218</v>
      </c>
      <c r="C31">
        <v>10.771664299999999</v>
      </c>
      <c r="D31">
        <v>106.6950738</v>
      </c>
      <c r="E31" t="s">
        <v>1123</v>
      </c>
      <c r="F31" t="s">
        <v>1133</v>
      </c>
      <c r="G31" t="s">
        <v>1134</v>
      </c>
      <c r="H31" t="s">
        <v>1135</v>
      </c>
      <c r="I31" t="s">
        <v>1248</v>
      </c>
      <c r="J31" t="s">
        <v>1276</v>
      </c>
      <c r="K31" t="s">
        <v>1133</v>
      </c>
      <c r="L31" t="s">
        <v>1278</v>
      </c>
    </row>
    <row r="32" spans="1:12">
      <c r="A32" t="s">
        <v>222</v>
      </c>
      <c r="B32" t="s">
        <v>223</v>
      </c>
      <c r="C32">
        <v>10.7898785</v>
      </c>
      <c r="D32">
        <v>106.7109045</v>
      </c>
      <c r="E32" t="s">
        <v>1124</v>
      </c>
      <c r="F32" t="s">
        <v>1133</v>
      </c>
      <c r="G32" t="s">
        <v>1622</v>
      </c>
      <c r="H32" t="s">
        <v>1135</v>
      </c>
      <c r="I32" t="s">
        <v>1257</v>
      </c>
      <c r="J32" t="s">
        <v>1279</v>
      </c>
      <c r="K32" t="s">
        <v>1133</v>
      </c>
      <c r="L32" t="s">
        <v>1623</v>
      </c>
    </row>
    <row r="33" spans="1:12">
      <c r="A33" t="s">
        <v>228</v>
      </c>
      <c r="B33" t="s">
        <v>229</v>
      </c>
      <c r="C33">
        <v>10.791975000000001</v>
      </c>
      <c r="D33">
        <v>106.6983939</v>
      </c>
      <c r="E33" t="s">
        <v>1123</v>
      </c>
      <c r="F33" t="s">
        <v>1133</v>
      </c>
      <c r="G33" t="s">
        <v>1134</v>
      </c>
      <c r="H33" t="s">
        <v>1135</v>
      </c>
      <c r="I33" t="s">
        <v>1253</v>
      </c>
      <c r="J33" t="s">
        <v>1273</v>
      </c>
      <c r="K33" t="s">
        <v>1138</v>
      </c>
      <c r="L33" t="s">
        <v>1272</v>
      </c>
    </row>
    <row r="34" spans="1:12">
      <c r="A34" t="s">
        <v>233</v>
      </c>
      <c r="B34" t="s">
        <v>234</v>
      </c>
      <c r="C34">
        <v>10.790021299999999</v>
      </c>
      <c r="D34">
        <v>106.6794503</v>
      </c>
      <c r="E34" t="s">
        <v>1125</v>
      </c>
      <c r="F34" t="s">
        <v>1133</v>
      </c>
      <c r="G34" t="s">
        <v>1627</v>
      </c>
      <c r="H34" t="s">
        <v>1135</v>
      </c>
      <c r="I34" t="s">
        <v>1261</v>
      </c>
      <c r="J34" t="s">
        <v>1286</v>
      </c>
      <c r="K34" t="s">
        <v>1138</v>
      </c>
      <c r="L34" t="s">
        <v>1628</v>
      </c>
    </row>
    <row r="35" spans="1:12">
      <c r="A35" t="s">
        <v>240</v>
      </c>
      <c r="B35" t="s">
        <v>241</v>
      </c>
      <c r="C35">
        <v>10.795722700000001</v>
      </c>
      <c r="D35">
        <v>106.6708338</v>
      </c>
      <c r="E35" t="s">
        <v>1629</v>
      </c>
      <c r="F35" t="s">
        <v>1133</v>
      </c>
      <c r="G35" t="s">
        <v>1630</v>
      </c>
      <c r="H35" t="s">
        <v>1180</v>
      </c>
      <c r="I35" t="s">
        <v>1631</v>
      </c>
      <c r="J35" t="s">
        <v>1632</v>
      </c>
      <c r="K35" t="s">
        <v>1133</v>
      </c>
      <c r="L35" t="s">
        <v>1623</v>
      </c>
    </row>
    <row r="36" spans="1:12">
      <c r="A36" t="s">
        <v>247</v>
      </c>
      <c r="B36" t="s">
        <v>248</v>
      </c>
      <c r="C36">
        <v>10.780178599999999</v>
      </c>
      <c r="D36">
        <v>106.70380710000001</v>
      </c>
      <c r="E36" t="s">
        <v>1123</v>
      </c>
      <c r="F36" t="s">
        <v>1133</v>
      </c>
      <c r="G36" t="s">
        <v>1134</v>
      </c>
      <c r="H36" t="s">
        <v>1135</v>
      </c>
      <c r="I36" t="s">
        <v>1252</v>
      </c>
      <c r="J36" t="s">
        <v>1271</v>
      </c>
      <c r="K36" t="s">
        <v>1138</v>
      </c>
      <c r="L36" t="s">
        <v>1272</v>
      </c>
    </row>
    <row r="37" spans="1:12">
      <c r="A37" t="s">
        <v>253</v>
      </c>
      <c r="B37" t="s">
        <v>254</v>
      </c>
      <c r="C37">
        <v>10.7719456</v>
      </c>
      <c r="D37">
        <v>106.6939273</v>
      </c>
      <c r="E37" t="s">
        <v>1123</v>
      </c>
      <c r="F37" t="s">
        <v>1133</v>
      </c>
      <c r="G37" t="s">
        <v>1134</v>
      </c>
      <c r="H37" t="s">
        <v>1135</v>
      </c>
      <c r="I37" t="s">
        <v>1249</v>
      </c>
      <c r="J37" t="s">
        <v>1282</v>
      </c>
      <c r="K37" t="s">
        <v>1138</v>
      </c>
      <c r="L37" t="s">
        <v>1272</v>
      </c>
    </row>
    <row r="38" spans="1:12">
      <c r="A38" t="s">
        <v>260</v>
      </c>
      <c r="B38" t="s">
        <v>261</v>
      </c>
      <c r="C38">
        <v>10.788380399999999</v>
      </c>
      <c r="D38">
        <v>106.6974632</v>
      </c>
      <c r="E38" t="s">
        <v>1123</v>
      </c>
      <c r="F38" t="s">
        <v>1133</v>
      </c>
      <c r="G38" t="s">
        <v>1134</v>
      </c>
      <c r="H38" t="s">
        <v>1135</v>
      </c>
      <c r="I38" t="s">
        <v>1253</v>
      </c>
      <c r="J38" t="s">
        <v>1273</v>
      </c>
      <c r="K38" t="s">
        <v>1138</v>
      </c>
      <c r="L38" t="s">
        <v>1272</v>
      </c>
    </row>
    <row r="39" spans="1:12">
      <c r="A39" t="s">
        <v>267</v>
      </c>
      <c r="B39" t="s">
        <v>268</v>
      </c>
      <c r="C39">
        <v>10.783830500000001</v>
      </c>
      <c r="D39">
        <v>106.7053702</v>
      </c>
      <c r="E39" t="s">
        <v>1123</v>
      </c>
      <c r="F39" t="s">
        <v>1133</v>
      </c>
      <c r="G39" t="s">
        <v>1134</v>
      </c>
      <c r="H39" t="s">
        <v>1135</v>
      </c>
      <c r="I39" t="s">
        <v>1252</v>
      </c>
      <c r="J39" t="s">
        <v>1271</v>
      </c>
      <c r="K39" t="s">
        <v>1138</v>
      </c>
      <c r="L39" t="s">
        <v>1272</v>
      </c>
    </row>
    <row r="40" spans="1:12">
      <c r="A40" t="s">
        <v>273</v>
      </c>
      <c r="B40" t="s">
        <v>274</v>
      </c>
      <c r="C40">
        <v>10.784770999999999</v>
      </c>
      <c r="D40">
        <v>106.7003131</v>
      </c>
      <c r="E40" t="s">
        <v>1123</v>
      </c>
      <c r="F40" t="s">
        <v>1133</v>
      </c>
      <c r="G40" t="s">
        <v>1134</v>
      </c>
      <c r="H40" t="s">
        <v>1135</v>
      </c>
      <c r="I40" t="s">
        <v>1253</v>
      </c>
      <c r="J40" t="s">
        <v>1273</v>
      </c>
      <c r="K40" t="s">
        <v>1138</v>
      </c>
      <c r="L40" t="s">
        <v>1272</v>
      </c>
    </row>
    <row r="41" spans="1:12">
      <c r="A41" t="s">
        <v>279</v>
      </c>
      <c r="B41" t="s">
        <v>280</v>
      </c>
      <c r="C41">
        <v>10.775088500000001</v>
      </c>
      <c r="D41">
        <v>106.7037454</v>
      </c>
      <c r="E41" t="s">
        <v>1123</v>
      </c>
      <c r="F41" t="s">
        <v>1133</v>
      </c>
      <c r="G41" t="s">
        <v>1134</v>
      </c>
      <c r="H41" t="s">
        <v>1135</v>
      </c>
      <c r="I41" t="s">
        <v>1252</v>
      </c>
      <c r="J41" t="s">
        <v>1271</v>
      </c>
      <c r="K41" t="s">
        <v>1138</v>
      </c>
      <c r="L41" t="s">
        <v>1272</v>
      </c>
    </row>
    <row r="42" spans="1:12">
      <c r="A42" t="s">
        <v>285</v>
      </c>
      <c r="B42" t="s">
        <v>286</v>
      </c>
      <c r="C42">
        <v>10.794143999999999</v>
      </c>
      <c r="D42">
        <v>106.6986019</v>
      </c>
      <c r="E42" t="s">
        <v>1125</v>
      </c>
      <c r="F42" t="s">
        <v>1133</v>
      </c>
      <c r="G42" t="s">
        <v>1622</v>
      </c>
      <c r="H42" t="s">
        <v>1135</v>
      </c>
      <c r="I42" t="s">
        <v>1260</v>
      </c>
      <c r="J42" t="s">
        <v>1280</v>
      </c>
      <c r="K42" t="s">
        <v>1133</v>
      </c>
      <c r="L42" t="s">
        <v>1626</v>
      </c>
    </row>
    <row r="43" spans="1:12">
      <c r="A43" t="s">
        <v>290</v>
      </c>
      <c r="B43" t="s">
        <v>291</v>
      </c>
      <c r="C43">
        <v>10.7926717</v>
      </c>
      <c r="D43">
        <v>106.6881952</v>
      </c>
      <c r="E43" t="s">
        <v>1123</v>
      </c>
      <c r="F43" t="s">
        <v>1133</v>
      </c>
      <c r="G43" t="s">
        <v>1134</v>
      </c>
      <c r="H43" t="s">
        <v>1135</v>
      </c>
      <c r="I43" t="s">
        <v>1250</v>
      </c>
      <c r="J43" t="s">
        <v>1277</v>
      </c>
      <c r="K43" t="s">
        <v>1138</v>
      </c>
      <c r="L43" t="s">
        <v>1272</v>
      </c>
    </row>
    <row r="44" spans="1:12">
      <c r="A44" t="s">
        <v>296</v>
      </c>
      <c r="B44" t="s">
        <v>297</v>
      </c>
      <c r="C44">
        <v>10.792303799999999</v>
      </c>
      <c r="D44">
        <v>106.680166</v>
      </c>
      <c r="E44" t="s">
        <v>1629</v>
      </c>
      <c r="F44" t="s">
        <v>1133</v>
      </c>
      <c r="G44" t="s">
        <v>1633</v>
      </c>
      <c r="H44" t="s">
        <v>1180</v>
      </c>
      <c r="I44" t="s">
        <v>1634</v>
      </c>
      <c r="J44" t="s">
        <v>1635</v>
      </c>
      <c r="K44" t="s">
        <v>1133</v>
      </c>
      <c r="L44" t="s">
        <v>1623</v>
      </c>
    </row>
    <row r="45" spans="1:12">
      <c r="A45" t="s">
        <v>301</v>
      </c>
      <c r="B45" t="s">
        <v>302</v>
      </c>
      <c r="C45">
        <v>10.7868864</v>
      </c>
      <c r="D45">
        <v>106.6922142</v>
      </c>
      <c r="E45" t="s">
        <v>1125</v>
      </c>
      <c r="F45" t="s">
        <v>1133</v>
      </c>
      <c r="G45" t="s">
        <v>1137</v>
      </c>
      <c r="H45" t="s">
        <v>1135</v>
      </c>
      <c r="I45" t="s">
        <v>1260</v>
      </c>
      <c r="J45" t="s">
        <v>1280</v>
      </c>
      <c r="K45" t="s">
        <v>1138</v>
      </c>
      <c r="L45" t="s">
        <v>1272</v>
      </c>
    </row>
    <row r="46" spans="1:12">
      <c r="A46" t="s">
        <v>307</v>
      </c>
      <c r="B46" t="s">
        <v>308</v>
      </c>
      <c r="C46">
        <v>10.787003</v>
      </c>
      <c r="D46">
        <v>106.6923163</v>
      </c>
      <c r="E46" t="s">
        <v>1125</v>
      </c>
      <c r="F46" t="s">
        <v>1133</v>
      </c>
      <c r="G46" t="s">
        <v>1137</v>
      </c>
      <c r="H46" t="s">
        <v>1135</v>
      </c>
      <c r="I46" t="s">
        <v>1260</v>
      </c>
      <c r="J46" t="s">
        <v>1280</v>
      </c>
      <c r="K46" t="s">
        <v>1138</v>
      </c>
      <c r="L46" t="s">
        <v>1272</v>
      </c>
    </row>
    <row r="47" spans="1:12">
      <c r="A47" t="s">
        <v>312</v>
      </c>
      <c r="B47" t="s">
        <v>313</v>
      </c>
      <c r="C47">
        <v>10.7883672</v>
      </c>
      <c r="D47">
        <v>106.69745020000001</v>
      </c>
      <c r="E47" t="s">
        <v>1123</v>
      </c>
      <c r="F47" t="s">
        <v>1133</v>
      </c>
      <c r="G47" t="s">
        <v>1134</v>
      </c>
      <c r="H47" t="s">
        <v>1135</v>
      </c>
      <c r="I47" t="s">
        <v>1253</v>
      </c>
      <c r="J47" t="s">
        <v>1273</v>
      </c>
      <c r="K47" t="s">
        <v>1133</v>
      </c>
      <c r="L47" t="s">
        <v>1283</v>
      </c>
    </row>
    <row r="48" spans="1:12">
      <c r="A48" t="s">
        <v>318</v>
      </c>
      <c r="B48" t="s">
        <v>319</v>
      </c>
      <c r="C48">
        <v>10.792312000000001</v>
      </c>
      <c r="D48">
        <v>106.69767299999999</v>
      </c>
      <c r="E48" t="s">
        <v>1123</v>
      </c>
      <c r="F48" t="s">
        <v>1133</v>
      </c>
      <c r="G48" t="s">
        <v>1134</v>
      </c>
      <c r="H48" t="s">
        <v>1135</v>
      </c>
      <c r="I48" t="s">
        <v>1253</v>
      </c>
      <c r="J48" t="s">
        <v>1273</v>
      </c>
      <c r="K48" t="s">
        <v>1138</v>
      </c>
      <c r="L48" t="s">
        <v>1272</v>
      </c>
    </row>
    <row r="49" spans="1:12">
      <c r="A49" t="s">
        <v>325</v>
      </c>
      <c r="B49" t="s">
        <v>326</v>
      </c>
      <c r="C49">
        <v>10.784485800000001</v>
      </c>
      <c r="D49">
        <v>106.6975065</v>
      </c>
      <c r="E49" t="s">
        <v>1123</v>
      </c>
      <c r="F49" t="s">
        <v>1133</v>
      </c>
      <c r="G49" t="s">
        <v>1134</v>
      </c>
      <c r="H49" t="s">
        <v>1135</v>
      </c>
      <c r="I49" t="s">
        <v>1253</v>
      </c>
      <c r="J49" t="s">
        <v>1273</v>
      </c>
      <c r="K49" t="s">
        <v>1138</v>
      </c>
      <c r="L49" t="s">
        <v>1272</v>
      </c>
    </row>
    <row r="50" spans="1:12">
      <c r="A50" t="s">
        <v>330</v>
      </c>
      <c r="B50" t="s">
        <v>331</v>
      </c>
      <c r="C50">
        <v>10.795483000000001</v>
      </c>
      <c r="D50">
        <v>106.71013790000001</v>
      </c>
      <c r="E50" t="s">
        <v>1124</v>
      </c>
      <c r="F50" t="s">
        <v>1133</v>
      </c>
      <c r="G50" t="s">
        <v>1622</v>
      </c>
      <c r="H50" t="s">
        <v>1135</v>
      </c>
      <c r="I50" t="s">
        <v>1257</v>
      </c>
      <c r="J50" t="s">
        <v>1279</v>
      </c>
      <c r="K50" t="s">
        <v>1133</v>
      </c>
      <c r="L50" t="s">
        <v>1623</v>
      </c>
    </row>
    <row r="51" spans="1:12">
      <c r="A51" t="s">
        <v>335</v>
      </c>
      <c r="B51" t="s">
        <v>336</v>
      </c>
      <c r="C51">
        <v>10.7926748</v>
      </c>
      <c r="D51">
        <v>106.69113609999999</v>
      </c>
      <c r="E51" t="s">
        <v>1123</v>
      </c>
      <c r="F51" t="s">
        <v>1133</v>
      </c>
      <c r="G51" t="s">
        <v>1134</v>
      </c>
      <c r="H51" t="s">
        <v>1135</v>
      </c>
      <c r="I51" t="s">
        <v>1250</v>
      </c>
      <c r="J51" t="s">
        <v>1277</v>
      </c>
      <c r="K51" t="s">
        <v>1138</v>
      </c>
      <c r="L51" t="s">
        <v>1272</v>
      </c>
    </row>
    <row r="52" spans="1:12">
      <c r="A52" t="s">
        <v>341</v>
      </c>
      <c r="B52" t="s">
        <v>342</v>
      </c>
      <c r="C52">
        <v>10.7787053</v>
      </c>
      <c r="D52">
        <v>106.6885592</v>
      </c>
      <c r="E52" t="s">
        <v>1125</v>
      </c>
      <c r="F52" t="s">
        <v>1133</v>
      </c>
      <c r="G52" t="s">
        <v>1137</v>
      </c>
      <c r="H52" t="s">
        <v>1135</v>
      </c>
      <c r="I52" t="s">
        <v>1260</v>
      </c>
      <c r="J52" t="s">
        <v>1280</v>
      </c>
      <c r="K52" t="s">
        <v>1138</v>
      </c>
      <c r="L52" t="s">
        <v>1285</v>
      </c>
    </row>
    <row r="53" spans="1:12">
      <c r="A53" t="s">
        <v>346</v>
      </c>
      <c r="B53" t="s">
        <v>347</v>
      </c>
      <c r="C53">
        <v>10.786441399999999</v>
      </c>
      <c r="D53">
        <v>106.6923565</v>
      </c>
      <c r="E53" t="s">
        <v>1125</v>
      </c>
      <c r="F53" t="s">
        <v>1133</v>
      </c>
      <c r="G53" t="s">
        <v>1137</v>
      </c>
      <c r="H53" t="s">
        <v>1135</v>
      </c>
      <c r="I53" t="s">
        <v>1260</v>
      </c>
      <c r="J53" t="s">
        <v>1280</v>
      </c>
      <c r="K53" t="s">
        <v>1138</v>
      </c>
      <c r="L53" t="s">
        <v>1272</v>
      </c>
    </row>
    <row r="54" spans="1:12">
      <c r="A54" t="s">
        <v>351</v>
      </c>
      <c r="B54" t="s">
        <v>352</v>
      </c>
      <c r="C54">
        <v>10.7889806</v>
      </c>
      <c r="D54">
        <v>106.69825830000001</v>
      </c>
      <c r="E54" t="s">
        <v>1123</v>
      </c>
      <c r="F54" t="s">
        <v>1133</v>
      </c>
      <c r="G54" t="s">
        <v>1134</v>
      </c>
      <c r="H54" t="s">
        <v>1135</v>
      </c>
      <c r="I54" t="s">
        <v>1253</v>
      </c>
      <c r="J54" t="s">
        <v>1273</v>
      </c>
      <c r="K54" t="s">
        <v>1138</v>
      </c>
      <c r="L54" t="s">
        <v>1272</v>
      </c>
    </row>
    <row r="55" spans="1:12">
      <c r="A55" t="s">
        <v>356</v>
      </c>
      <c r="B55" t="s">
        <v>357</v>
      </c>
      <c r="C55">
        <v>10.770252899999999</v>
      </c>
      <c r="D55">
        <v>106.70203480000001</v>
      </c>
      <c r="E55" t="s">
        <v>1123</v>
      </c>
      <c r="F55" t="s">
        <v>1133</v>
      </c>
      <c r="G55" t="s">
        <v>1134</v>
      </c>
      <c r="H55" t="s">
        <v>1135</v>
      </c>
      <c r="I55" t="s">
        <v>1251</v>
      </c>
      <c r="J55" t="s">
        <v>1275</v>
      </c>
      <c r="K55" t="s">
        <v>1138</v>
      </c>
      <c r="L55" t="s">
        <v>1272</v>
      </c>
    </row>
    <row r="56" spans="1:12">
      <c r="A56" t="s">
        <v>361</v>
      </c>
      <c r="B56" t="s">
        <v>362</v>
      </c>
      <c r="C56">
        <v>10.775721600000001</v>
      </c>
      <c r="D56">
        <v>106.6747094</v>
      </c>
      <c r="E56" t="s">
        <v>1636</v>
      </c>
      <c r="F56" t="s">
        <v>1133</v>
      </c>
      <c r="G56" t="s">
        <v>1637</v>
      </c>
      <c r="H56" t="s">
        <v>1180</v>
      </c>
      <c r="I56" t="s">
        <v>1638</v>
      </c>
      <c r="J56" t="s">
        <v>1639</v>
      </c>
      <c r="K56" t="s">
        <v>1133</v>
      </c>
      <c r="L56" t="s">
        <v>1640</v>
      </c>
    </row>
    <row r="57" spans="1:12">
      <c r="A57" t="s">
        <v>367</v>
      </c>
      <c r="B57" t="s">
        <v>368</v>
      </c>
      <c r="C57">
        <v>10.78609</v>
      </c>
      <c r="D57">
        <v>106.671357</v>
      </c>
      <c r="E57" t="s">
        <v>1125</v>
      </c>
      <c r="F57" t="s">
        <v>1133</v>
      </c>
      <c r="G57" t="s">
        <v>1622</v>
      </c>
      <c r="H57" t="s">
        <v>1135</v>
      </c>
      <c r="I57" t="s">
        <v>1634</v>
      </c>
      <c r="J57" t="s">
        <v>1641</v>
      </c>
      <c r="K57" t="s">
        <v>1133</v>
      </c>
      <c r="L57" t="s">
        <v>1623</v>
      </c>
    </row>
    <row r="58" spans="1:12">
      <c r="A58" t="s">
        <v>373</v>
      </c>
      <c r="B58" t="s">
        <v>374</v>
      </c>
      <c r="C58">
        <v>10.7904546</v>
      </c>
      <c r="D58">
        <v>106.6826408</v>
      </c>
      <c r="E58" t="s">
        <v>1125</v>
      </c>
      <c r="F58" t="s">
        <v>1133</v>
      </c>
      <c r="G58" t="s">
        <v>1137</v>
      </c>
      <c r="H58" t="s">
        <v>1135</v>
      </c>
      <c r="I58" t="s">
        <v>1260</v>
      </c>
      <c r="J58" t="s">
        <v>1280</v>
      </c>
      <c r="K58" t="s">
        <v>1138</v>
      </c>
      <c r="L58" t="s">
        <v>1272</v>
      </c>
    </row>
    <row r="59" spans="1:12">
      <c r="A59" t="s">
        <v>379</v>
      </c>
      <c r="B59" t="s">
        <v>380</v>
      </c>
      <c r="C59">
        <v>10.808991000000001</v>
      </c>
      <c r="D59">
        <v>106.753609</v>
      </c>
      <c r="E59" t="s">
        <v>1127</v>
      </c>
      <c r="F59" t="s">
        <v>1133</v>
      </c>
      <c r="G59" t="s">
        <v>1146</v>
      </c>
      <c r="H59" t="s">
        <v>1135</v>
      </c>
      <c r="I59" t="s">
        <v>1256</v>
      </c>
      <c r="J59" t="s">
        <v>1287</v>
      </c>
      <c r="K59" t="s">
        <v>1133</v>
      </c>
      <c r="L59" t="s">
        <v>1272</v>
      </c>
    </row>
    <row r="60" spans="1:12">
      <c r="A60" t="s">
        <v>387</v>
      </c>
      <c r="B60" t="s">
        <v>388</v>
      </c>
      <c r="C60">
        <v>10.778468</v>
      </c>
      <c r="D60">
        <v>106.69877200000001</v>
      </c>
      <c r="E60" t="s">
        <v>1123</v>
      </c>
      <c r="F60" t="s">
        <v>1133</v>
      </c>
      <c r="G60" t="s">
        <v>1134</v>
      </c>
      <c r="H60" t="s">
        <v>1135</v>
      </c>
      <c r="I60" t="s">
        <v>1252</v>
      </c>
      <c r="J60" t="s">
        <v>1271</v>
      </c>
      <c r="K60" t="s">
        <v>1138</v>
      </c>
      <c r="L60" t="s">
        <v>1288</v>
      </c>
    </row>
    <row r="61" spans="1:12">
      <c r="A61" t="s">
        <v>392</v>
      </c>
      <c r="B61" t="s">
        <v>393</v>
      </c>
      <c r="C61">
        <v>10.7961989</v>
      </c>
      <c r="D61">
        <v>106.6777842</v>
      </c>
      <c r="E61" t="s">
        <v>1629</v>
      </c>
      <c r="F61" t="s">
        <v>1133</v>
      </c>
      <c r="G61" t="s">
        <v>1642</v>
      </c>
      <c r="H61" t="s">
        <v>1180</v>
      </c>
      <c r="I61" t="s">
        <v>1643</v>
      </c>
      <c r="J61" t="s">
        <v>1644</v>
      </c>
      <c r="K61" t="s">
        <v>1133</v>
      </c>
      <c r="L61" t="s">
        <v>1623</v>
      </c>
    </row>
    <row r="62" spans="1:12">
      <c r="A62" t="s">
        <v>398</v>
      </c>
      <c r="B62" t="s">
        <v>399</v>
      </c>
      <c r="C62">
        <v>10.7839524</v>
      </c>
      <c r="D62">
        <v>106.68209400000001</v>
      </c>
      <c r="E62" t="s">
        <v>1125</v>
      </c>
      <c r="F62" t="s">
        <v>1133</v>
      </c>
      <c r="G62" t="s">
        <v>1137</v>
      </c>
      <c r="H62" t="s">
        <v>1135</v>
      </c>
      <c r="I62" t="s">
        <v>1260</v>
      </c>
      <c r="J62" t="s">
        <v>1280</v>
      </c>
      <c r="K62" t="s">
        <v>1138</v>
      </c>
      <c r="L62" t="s">
        <v>1272</v>
      </c>
    </row>
    <row r="63" spans="1:12">
      <c r="A63" t="s">
        <v>404</v>
      </c>
      <c r="B63" t="s">
        <v>405</v>
      </c>
      <c r="C63">
        <v>10.7750811</v>
      </c>
      <c r="D63">
        <v>106.700503</v>
      </c>
      <c r="E63" t="s">
        <v>1123</v>
      </c>
      <c r="F63" t="s">
        <v>1133</v>
      </c>
      <c r="G63" t="s">
        <v>1134</v>
      </c>
      <c r="H63" t="s">
        <v>1135</v>
      </c>
      <c r="I63" t="s">
        <v>1252</v>
      </c>
      <c r="J63" t="s">
        <v>1271</v>
      </c>
      <c r="K63" t="s">
        <v>1138</v>
      </c>
      <c r="L63" t="s">
        <v>1272</v>
      </c>
    </row>
    <row r="64" spans="1:12">
      <c r="A64" t="s">
        <v>410</v>
      </c>
      <c r="B64" t="s">
        <v>411</v>
      </c>
      <c r="C64">
        <v>10.7723259</v>
      </c>
      <c r="D64">
        <v>106.6945746</v>
      </c>
      <c r="E64" t="s">
        <v>1123</v>
      </c>
      <c r="F64" t="s">
        <v>1133</v>
      </c>
      <c r="G64" t="s">
        <v>1134</v>
      </c>
      <c r="H64" t="s">
        <v>1135</v>
      </c>
      <c r="I64" t="s">
        <v>1249</v>
      </c>
      <c r="J64" t="s">
        <v>1282</v>
      </c>
      <c r="K64" t="s">
        <v>1138</v>
      </c>
      <c r="L64" t="s">
        <v>1272</v>
      </c>
    </row>
    <row r="65" spans="1:12">
      <c r="A65" t="s">
        <v>418</v>
      </c>
      <c r="B65" t="s">
        <v>419</v>
      </c>
      <c r="C65">
        <v>10.771598600000001</v>
      </c>
      <c r="D65">
        <v>106.6885602</v>
      </c>
      <c r="E65" t="s">
        <v>1123</v>
      </c>
      <c r="F65" t="s">
        <v>1138</v>
      </c>
      <c r="G65" t="s">
        <v>1622</v>
      </c>
      <c r="H65" t="s">
        <v>1135</v>
      </c>
      <c r="I65" t="s">
        <v>1248</v>
      </c>
      <c r="J65" t="s">
        <v>1276</v>
      </c>
      <c r="K65" t="s">
        <v>1138</v>
      </c>
      <c r="L65" t="s">
        <v>1645</v>
      </c>
    </row>
    <row r="66" spans="1:12">
      <c r="A66" t="s">
        <v>423</v>
      </c>
      <c r="B66" t="s">
        <v>424</v>
      </c>
      <c r="C66">
        <v>10.7927559</v>
      </c>
      <c r="D66">
        <v>106.6897702</v>
      </c>
      <c r="E66" t="s">
        <v>1123</v>
      </c>
      <c r="F66" t="s">
        <v>1133</v>
      </c>
      <c r="G66" t="s">
        <v>1134</v>
      </c>
      <c r="H66" t="s">
        <v>1135</v>
      </c>
      <c r="I66" t="s">
        <v>1250</v>
      </c>
      <c r="J66" t="s">
        <v>1277</v>
      </c>
      <c r="K66" t="s">
        <v>1138</v>
      </c>
      <c r="L66" t="s">
        <v>1272</v>
      </c>
    </row>
    <row r="67" spans="1:12">
      <c r="A67" t="s">
        <v>429</v>
      </c>
      <c r="B67" t="s">
        <v>430</v>
      </c>
      <c r="C67">
        <v>10.773197</v>
      </c>
      <c r="D67">
        <v>106.701892</v>
      </c>
      <c r="E67" t="s">
        <v>1123</v>
      </c>
      <c r="F67" t="s">
        <v>1133</v>
      </c>
      <c r="G67" t="s">
        <v>1134</v>
      </c>
      <c r="H67" t="s">
        <v>1135</v>
      </c>
      <c r="I67" t="s">
        <v>1251</v>
      </c>
      <c r="J67" t="s">
        <v>1275</v>
      </c>
      <c r="K67" t="s">
        <v>1138</v>
      </c>
      <c r="L67" t="s">
        <v>1272</v>
      </c>
    </row>
    <row r="68" spans="1:12">
      <c r="A68" t="s">
        <v>435</v>
      </c>
      <c r="B68" t="s">
        <v>436</v>
      </c>
      <c r="C68">
        <v>10.7726481</v>
      </c>
      <c r="D68">
        <v>106.69648359999999</v>
      </c>
      <c r="E68" t="s">
        <v>1123</v>
      </c>
      <c r="F68" t="s">
        <v>1133</v>
      </c>
      <c r="G68" t="s">
        <v>1134</v>
      </c>
      <c r="H68" t="s">
        <v>1135</v>
      </c>
      <c r="I68" t="s">
        <v>1249</v>
      </c>
      <c r="J68" t="s">
        <v>1282</v>
      </c>
      <c r="K68" t="s">
        <v>1138</v>
      </c>
      <c r="L68" t="s">
        <v>1272</v>
      </c>
    </row>
    <row r="69" spans="1:12">
      <c r="A69" t="s">
        <v>440</v>
      </c>
      <c r="B69" t="s">
        <v>441</v>
      </c>
      <c r="C69">
        <v>10.788872</v>
      </c>
      <c r="D69">
        <v>106.6846244</v>
      </c>
      <c r="E69" t="s">
        <v>1125</v>
      </c>
      <c r="F69" t="s">
        <v>1133</v>
      </c>
      <c r="G69" t="s">
        <v>1137</v>
      </c>
      <c r="H69" t="s">
        <v>1135</v>
      </c>
      <c r="I69" t="s">
        <v>1260</v>
      </c>
      <c r="J69" t="s">
        <v>1280</v>
      </c>
      <c r="K69" t="s">
        <v>1138</v>
      </c>
      <c r="L69" t="s">
        <v>1272</v>
      </c>
    </row>
    <row r="70" spans="1:12">
      <c r="A70" t="s">
        <v>446</v>
      </c>
      <c r="B70" t="s">
        <v>447</v>
      </c>
      <c r="C70">
        <v>10.7770411</v>
      </c>
      <c r="D70">
        <v>106.68859689999999</v>
      </c>
      <c r="E70" t="s">
        <v>1125</v>
      </c>
      <c r="F70" t="s">
        <v>1133</v>
      </c>
      <c r="G70" t="s">
        <v>1137</v>
      </c>
      <c r="H70" t="s">
        <v>1135</v>
      </c>
      <c r="I70" t="s">
        <v>1260</v>
      </c>
      <c r="J70" t="s">
        <v>1280</v>
      </c>
      <c r="K70" t="s">
        <v>1138</v>
      </c>
      <c r="L70" t="s">
        <v>1272</v>
      </c>
    </row>
    <row r="71" spans="1:12">
      <c r="A71" t="s">
        <v>451</v>
      </c>
      <c r="B71" t="s">
        <v>452</v>
      </c>
      <c r="C71">
        <v>10.786816999999999</v>
      </c>
      <c r="D71">
        <v>106.6819498</v>
      </c>
      <c r="E71" t="s">
        <v>1125</v>
      </c>
      <c r="F71" t="s">
        <v>1133</v>
      </c>
      <c r="G71" t="s">
        <v>1622</v>
      </c>
      <c r="H71" t="s">
        <v>1135</v>
      </c>
      <c r="I71" t="s">
        <v>1261</v>
      </c>
      <c r="J71" t="s">
        <v>1286</v>
      </c>
      <c r="K71" t="s">
        <v>1133</v>
      </c>
      <c r="L71" t="s">
        <v>1623</v>
      </c>
    </row>
    <row r="72" spans="1:12">
      <c r="A72" t="s">
        <v>456</v>
      </c>
      <c r="B72" t="s">
        <v>457</v>
      </c>
      <c r="C72">
        <v>10.792407600000001</v>
      </c>
      <c r="D72">
        <v>106.68783639999999</v>
      </c>
      <c r="E72" t="s">
        <v>1123</v>
      </c>
      <c r="F72" t="s">
        <v>1133</v>
      </c>
      <c r="G72" t="s">
        <v>1134</v>
      </c>
      <c r="H72" t="s">
        <v>1135</v>
      </c>
      <c r="I72" t="s">
        <v>1250</v>
      </c>
      <c r="J72" t="s">
        <v>1277</v>
      </c>
      <c r="K72" t="s">
        <v>1138</v>
      </c>
      <c r="L72" t="s">
        <v>1272</v>
      </c>
    </row>
    <row r="73" spans="1:12">
      <c r="A73" t="s">
        <v>462</v>
      </c>
      <c r="B73" t="s">
        <v>463</v>
      </c>
      <c r="C73">
        <v>10.7738567</v>
      </c>
      <c r="D73">
        <v>106.6980798</v>
      </c>
      <c r="E73" t="s">
        <v>1123</v>
      </c>
      <c r="F73" t="s">
        <v>1133</v>
      </c>
      <c r="G73" t="s">
        <v>1134</v>
      </c>
      <c r="H73" t="s">
        <v>1135</v>
      </c>
      <c r="I73" t="s">
        <v>1249</v>
      </c>
      <c r="J73" t="s">
        <v>1282</v>
      </c>
      <c r="K73" t="s">
        <v>1138</v>
      </c>
      <c r="L73" t="s">
        <v>1272</v>
      </c>
    </row>
    <row r="74" spans="1:12">
      <c r="A74" t="s">
        <v>468</v>
      </c>
      <c r="B74" t="s">
        <v>469</v>
      </c>
      <c r="C74">
        <v>10.801888</v>
      </c>
      <c r="D74">
        <v>106.7354722</v>
      </c>
      <c r="E74" t="s">
        <v>1127</v>
      </c>
      <c r="F74" t="s">
        <v>1133</v>
      </c>
      <c r="G74" t="s">
        <v>1146</v>
      </c>
      <c r="H74" t="s">
        <v>1135</v>
      </c>
      <c r="I74" t="s">
        <v>1256</v>
      </c>
      <c r="J74" t="s">
        <v>1287</v>
      </c>
      <c r="K74" t="s">
        <v>1133</v>
      </c>
      <c r="L74" t="s">
        <v>1272</v>
      </c>
    </row>
    <row r="75" spans="1:12">
      <c r="A75" t="s">
        <v>475</v>
      </c>
      <c r="B75" t="s">
        <v>476</v>
      </c>
      <c r="C75">
        <v>10.797603000000001</v>
      </c>
      <c r="D75">
        <v>106.74150849999999</v>
      </c>
      <c r="E75" t="s">
        <v>1127</v>
      </c>
      <c r="F75" t="s">
        <v>1133</v>
      </c>
      <c r="G75" t="s">
        <v>1146</v>
      </c>
      <c r="H75" t="s">
        <v>1135</v>
      </c>
      <c r="I75" t="s">
        <v>1262</v>
      </c>
      <c r="J75" t="s">
        <v>1289</v>
      </c>
      <c r="K75" t="s">
        <v>1138</v>
      </c>
      <c r="L75" t="s">
        <v>1272</v>
      </c>
    </row>
    <row r="76" spans="1:12">
      <c r="A76" t="s">
        <v>480</v>
      </c>
      <c r="B76" t="s">
        <v>481</v>
      </c>
      <c r="C76">
        <v>10.7961531</v>
      </c>
      <c r="D76">
        <v>106.7310219</v>
      </c>
      <c r="E76" t="s">
        <v>1127</v>
      </c>
      <c r="F76" t="s">
        <v>1133</v>
      </c>
      <c r="G76" t="s">
        <v>1146</v>
      </c>
      <c r="H76" t="s">
        <v>1135</v>
      </c>
      <c r="I76" t="s">
        <v>1262</v>
      </c>
      <c r="J76" t="s">
        <v>1289</v>
      </c>
      <c r="K76" t="s">
        <v>1138</v>
      </c>
      <c r="L76" t="s">
        <v>1272</v>
      </c>
    </row>
    <row r="77" spans="1:12">
      <c r="A77" t="s">
        <v>486</v>
      </c>
      <c r="B77" t="s">
        <v>487</v>
      </c>
      <c r="C77">
        <v>10.802349</v>
      </c>
      <c r="D77">
        <v>106.73715970000001</v>
      </c>
      <c r="E77" t="s">
        <v>1127</v>
      </c>
      <c r="F77" t="s">
        <v>1133</v>
      </c>
      <c r="G77" t="s">
        <v>1146</v>
      </c>
      <c r="H77" t="s">
        <v>1135</v>
      </c>
      <c r="I77" t="s">
        <v>1256</v>
      </c>
      <c r="J77" t="s">
        <v>1287</v>
      </c>
      <c r="K77" t="s">
        <v>1133</v>
      </c>
      <c r="L77" t="s">
        <v>1272</v>
      </c>
    </row>
    <row r="78" spans="1:12">
      <c r="A78" t="s">
        <v>493</v>
      </c>
      <c r="B78" t="s">
        <v>494</v>
      </c>
      <c r="C78">
        <v>10.802954099999999</v>
      </c>
      <c r="D78">
        <v>106.7312266</v>
      </c>
      <c r="E78" t="s">
        <v>1127</v>
      </c>
      <c r="F78" t="s">
        <v>1133</v>
      </c>
      <c r="G78" t="s">
        <v>1146</v>
      </c>
      <c r="H78" t="s">
        <v>1135</v>
      </c>
      <c r="I78" t="s">
        <v>1256</v>
      </c>
      <c r="J78" t="s">
        <v>1287</v>
      </c>
      <c r="K78" t="s">
        <v>1133</v>
      </c>
      <c r="L78" t="s">
        <v>1272</v>
      </c>
    </row>
    <row r="79" spans="1:12">
      <c r="A79" t="s">
        <v>499</v>
      </c>
      <c r="B79" t="s">
        <v>500</v>
      </c>
      <c r="C79">
        <v>10.792175800000001</v>
      </c>
      <c r="D79">
        <v>106.745538</v>
      </c>
      <c r="E79" t="s">
        <v>1127</v>
      </c>
      <c r="F79" t="s">
        <v>1133</v>
      </c>
      <c r="G79" t="s">
        <v>1146</v>
      </c>
      <c r="H79" t="s">
        <v>1135</v>
      </c>
      <c r="I79" t="s">
        <v>1262</v>
      </c>
      <c r="J79" t="s">
        <v>1289</v>
      </c>
      <c r="K79" t="s">
        <v>1138</v>
      </c>
      <c r="L79" t="s">
        <v>1272</v>
      </c>
    </row>
    <row r="80" spans="1:12">
      <c r="A80" t="s">
        <v>504</v>
      </c>
      <c r="B80" t="s">
        <v>505</v>
      </c>
      <c r="C80">
        <v>10.8065373</v>
      </c>
      <c r="D80">
        <v>106.7308124</v>
      </c>
      <c r="E80" t="s">
        <v>1127</v>
      </c>
      <c r="F80" t="s">
        <v>1133</v>
      </c>
      <c r="G80" t="s">
        <v>1146</v>
      </c>
      <c r="H80" t="s">
        <v>1135</v>
      </c>
      <c r="I80" t="s">
        <v>1256</v>
      </c>
      <c r="J80" t="s">
        <v>1287</v>
      </c>
      <c r="K80" t="s">
        <v>1133</v>
      </c>
      <c r="L80" t="s">
        <v>1272</v>
      </c>
    </row>
    <row r="81" spans="1:12">
      <c r="A81" t="s">
        <v>511</v>
      </c>
      <c r="B81" t="s">
        <v>512</v>
      </c>
      <c r="C81">
        <v>10.8030413</v>
      </c>
      <c r="D81">
        <v>106.7323303</v>
      </c>
      <c r="E81" t="s">
        <v>1127</v>
      </c>
      <c r="F81" t="s">
        <v>1133</v>
      </c>
      <c r="G81" t="s">
        <v>1146</v>
      </c>
      <c r="H81" t="s">
        <v>1135</v>
      </c>
      <c r="I81" t="s">
        <v>1256</v>
      </c>
      <c r="J81" t="s">
        <v>1287</v>
      </c>
      <c r="K81" t="s">
        <v>1133</v>
      </c>
      <c r="L81" t="s">
        <v>1272</v>
      </c>
    </row>
    <row r="82" spans="1:12">
      <c r="A82" t="s">
        <v>516</v>
      </c>
      <c r="B82" t="s">
        <v>517</v>
      </c>
      <c r="C82">
        <v>10.803857799999999</v>
      </c>
      <c r="D82">
        <v>106.72841529999999</v>
      </c>
      <c r="E82" t="s">
        <v>1127</v>
      </c>
      <c r="F82" t="s">
        <v>1133</v>
      </c>
      <c r="G82" t="s">
        <v>1146</v>
      </c>
      <c r="H82" t="s">
        <v>1135</v>
      </c>
      <c r="I82" t="s">
        <v>1256</v>
      </c>
      <c r="J82" t="s">
        <v>1287</v>
      </c>
      <c r="K82" t="s">
        <v>1133</v>
      </c>
      <c r="L82" t="s">
        <v>1272</v>
      </c>
    </row>
    <row r="83" spans="1:12">
      <c r="A83" t="s">
        <v>521</v>
      </c>
      <c r="B83" t="s">
        <v>522</v>
      </c>
      <c r="C83">
        <v>10.801554400000001</v>
      </c>
      <c r="D83">
        <v>106.7293157</v>
      </c>
      <c r="E83" t="s">
        <v>1127</v>
      </c>
      <c r="F83" t="s">
        <v>1133</v>
      </c>
      <c r="G83" t="s">
        <v>1146</v>
      </c>
      <c r="H83" t="s">
        <v>1135</v>
      </c>
      <c r="I83" t="s">
        <v>1256</v>
      </c>
      <c r="J83" t="s">
        <v>1287</v>
      </c>
      <c r="K83" t="s">
        <v>1133</v>
      </c>
      <c r="L83" t="s">
        <v>1272</v>
      </c>
    </row>
    <row r="84" spans="1:12">
      <c r="A84" t="s">
        <v>528</v>
      </c>
      <c r="B84" t="s">
        <v>529</v>
      </c>
      <c r="C84">
        <v>10.8032012</v>
      </c>
      <c r="D84">
        <v>106.73640450000001</v>
      </c>
      <c r="E84" t="s">
        <v>1127</v>
      </c>
      <c r="F84" t="s">
        <v>1133</v>
      </c>
      <c r="G84" t="s">
        <v>1146</v>
      </c>
      <c r="H84" t="s">
        <v>1135</v>
      </c>
      <c r="I84" t="s">
        <v>1256</v>
      </c>
      <c r="J84" t="s">
        <v>1287</v>
      </c>
      <c r="K84" t="s">
        <v>1133</v>
      </c>
      <c r="L84" t="s">
        <v>1272</v>
      </c>
    </row>
    <row r="85" spans="1:12">
      <c r="A85" t="s">
        <v>534</v>
      </c>
      <c r="B85" t="s">
        <v>405</v>
      </c>
      <c r="C85">
        <v>10.806439299999999</v>
      </c>
      <c r="D85">
        <v>106.7349425</v>
      </c>
      <c r="E85" t="s">
        <v>1127</v>
      </c>
      <c r="F85" t="s">
        <v>1133</v>
      </c>
      <c r="G85" t="s">
        <v>1146</v>
      </c>
      <c r="H85" t="s">
        <v>1135</v>
      </c>
      <c r="I85" t="s">
        <v>1256</v>
      </c>
      <c r="J85" t="s">
        <v>1287</v>
      </c>
      <c r="K85" t="s">
        <v>1133</v>
      </c>
      <c r="L85" t="s">
        <v>1272</v>
      </c>
    </row>
    <row r="86" spans="1:12">
      <c r="A86" t="s">
        <v>539</v>
      </c>
      <c r="B86" t="s">
        <v>540</v>
      </c>
      <c r="C86">
        <v>10.794017800000001</v>
      </c>
      <c r="D86">
        <v>106.741034</v>
      </c>
      <c r="E86" t="s">
        <v>1127</v>
      </c>
      <c r="F86" t="s">
        <v>1133</v>
      </c>
      <c r="G86" t="s">
        <v>1146</v>
      </c>
      <c r="H86" t="s">
        <v>1135</v>
      </c>
      <c r="I86" t="s">
        <v>1262</v>
      </c>
      <c r="J86" t="s">
        <v>1289</v>
      </c>
      <c r="K86" t="s">
        <v>1138</v>
      </c>
      <c r="L86" t="s">
        <v>1272</v>
      </c>
    </row>
    <row r="87" spans="1:12">
      <c r="A87" t="s">
        <v>544</v>
      </c>
      <c r="B87" t="s">
        <v>545</v>
      </c>
      <c r="C87">
        <v>10.804199499999999</v>
      </c>
      <c r="D87">
        <v>106.7436151</v>
      </c>
      <c r="E87" t="s">
        <v>1127</v>
      </c>
      <c r="F87" t="s">
        <v>1133</v>
      </c>
      <c r="G87" t="s">
        <v>1146</v>
      </c>
      <c r="H87" t="s">
        <v>1135</v>
      </c>
      <c r="I87" t="s">
        <v>1256</v>
      </c>
      <c r="J87" t="s">
        <v>1287</v>
      </c>
      <c r="K87" t="s">
        <v>1133</v>
      </c>
      <c r="L87" t="s">
        <v>1290</v>
      </c>
    </row>
    <row r="88" spans="1:12">
      <c r="A88" t="s">
        <v>551</v>
      </c>
      <c r="B88" t="s">
        <v>552</v>
      </c>
      <c r="C88">
        <v>10.804209500000001</v>
      </c>
      <c r="D88">
        <v>106.7440478</v>
      </c>
      <c r="E88" t="s">
        <v>1127</v>
      </c>
      <c r="F88" t="s">
        <v>1133</v>
      </c>
      <c r="G88" t="s">
        <v>1147</v>
      </c>
      <c r="H88" t="s">
        <v>1135</v>
      </c>
      <c r="I88" t="s">
        <v>1256</v>
      </c>
      <c r="J88" t="s">
        <v>1287</v>
      </c>
      <c r="K88" t="s">
        <v>1133</v>
      </c>
      <c r="L88" t="s">
        <v>1272</v>
      </c>
    </row>
    <row r="89" spans="1:12">
      <c r="A89" t="s">
        <v>556</v>
      </c>
      <c r="B89" t="s">
        <v>557</v>
      </c>
      <c r="C89">
        <v>10.803062000000001</v>
      </c>
      <c r="D89">
        <v>106.7292159</v>
      </c>
      <c r="E89" t="s">
        <v>1127</v>
      </c>
      <c r="F89" t="s">
        <v>1133</v>
      </c>
      <c r="G89" t="s">
        <v>1146</v>
      </c>
      <c r="H89" t="s">
        <v>1135</v>
      </c>
      <c r="I89" t="s">
        <v>1256</v>
      </c>
      <c r="J89" t="s">
        <v>1287</v>
      </c>
      <c r="K89" t="s">
        <v>1133</v>
      </c>
      <c r="L89" t="s">
        <v>1272</v>
      </c>
    </row>
    <row r="90" spans="1:12">
      <c r="A90" t="s">
        <v>563</v>
      </c>
      <c r="B90" t="s">
        <v>564</v>
      </c>
      <c r="C90">
        <v>10.80339</v>
      </c>
      <c r="D90">
        <v>106.7392438</v>
      </c>
      <c r="E90" t="s">
        <v>1127</v>
      </c>
      <c r="F90" t="s">
        <v>1133</v>
      </c>
      <c r="G90" t="s">
        <v>1146</v>
      </c>
      <c r="H90" t="s">
        <v>1135</v>
      </c>
      <c r="I90" t="s">
        <v>1256</v>
      </c>
      <c r="J90" t="s">
        <v>1287</v>
      </c>
      <c r="K90" t="s">
        <v>1133</v>
      </c>
      <c r="L90" t="s">
        <v>1272</v>
      </c>
    </row>
    <row r="91" spans="1:12">
      <c r="A91" t="s">
        <v>569</v>
      </c>
      <c r="B91" t="s">
        <v>570</v>
      </c>
      <c r="C91">
        <v>10.791921500000001</v>
      </c>
      <c r="D91">
        <v>106.730317</v>
      </c>
      <c r="E91" t="s">
        <v>1127</v>
      </c>
      <c r="F91" t="s">
        <v>1133</v>
      </c>
      <c r="G91" t="s">
        <v>1146</v>
      </c>
      <c r="H91" t="s">
        <v>1135</v>
      </c>
      <c r="I91" t="s">
        <v>1262</v>
      </c>
      <c r="J91" t="s">
        <v>1289</v>
      </c>
      <c r="K91" t="s">
        <v>1138</v>
      </c>
      <c r="L91" t="s">
        <v>1272</v>
      </c>
    </row>
    <row r="92" spans="1:12">
      <c r="A92" t="s">
        <v>575</v>
      </c>
      <c r="B92" t="s">
        <v>576</v>
      </c>
      <c r="C92">
        <v>10.789558400000001</v>
      </c>
      <c r="D92">
        <v>106.7436764</v>
      </c>
      <c r="E92" t="s">
        <v>1127</v>
      </c>
      <c r="F92" t="s">
        <v>1133</v>
      </c>
      <c r="G92" t="s">
        <v>1147</v>
      </c>
      <c r="H92" t="s">
        <v>1135</v>
      </c>
      <c r="I92" t="s">
        <v>1262</v>
      </c>
      <c r="J92" t="s">
        <v>1289</v>
      </c>
      <c r="K92" t="s">
        <v>1138</v>
      </c>
      <c r="L92" t="s">
        <v>1272</v>
      </c>
    </row>
    <row r="93" spans="1:12">
      <c r="A93" t="s">
        <v>582</v>
      </c>
      <c r="B93" t="s">
        <v>583</v>
      </c>
      <c r="C93">
        <v>10.8044683</v>
      </c>
      <c r="D93">
        <v>106.73955479999999</v>
      </c>
      <c r="E93" t="s">
        <v>1127</v>
      </c>
      <c r="F93" t="s">
        <v>1133</v>
      </c>
      <c r="G93" t="s">
        <v>1146</v>
      </c>
      <c r="H93" t="s">
        <v>1135</v>
      </c>
      <c r="I93" t="s">
        <v>1256</v>
      </c>
      <c r="J93" t="s">
        <v>1287</v>
      </c>
      <c r="K93" t="s">
        <v>1133</v>
      </c>
      <c r="L93" t="s">
        <v>1272</v>
      </c>
    </row>
    <row r="94" spans="1:12">
      <c r="A94" t="s">
        <v>589</v>
      </c>
      <c r="B94" t="s">
        <v>590</v>
      </c>
      <c r="C94">
        <v>10.804198700000001</v>
      </c>
      <c r="D94">
        <v>106.73356680000001</v>
      </c>
      <c r="E94" t="s">
        <v>1127</v>
      </c>
      <c r="F94" t="s">
        <v>1133</v>
      </c>
      <c r="G94" t="s">
        <v>1146</v>
      </c>
      <c r="H94" t="s">
        <v>1135</v>
      </c>
      <c r="I94" t="s">
        <v>1256</v>
      </c>
      <c r="J94" t="s">
        <v>1287</v>
      </c>
      <c r="K94" t="s">
        <v>1133</v>
      </c>
      <c r="L94" t="s">
        <v>1272</v>
      </c>
    </row>
    <row r="95" spans="1:12">
      <c r="A95" t="s">
        <v>595</v>
      </c>
      <c r="B95" t="s">
        <v>380</v>
      </c>
      <c r="C95">
        <v>10.8089914</v>
      </c>
      <c r="D95">
        <v>106.75360860000001</v>
      </c>
      <c r="E95" t="s">
        <v>1127</v>
      </c>
      <c r="F95" t="s">
        <v>1133</v>
      </c>
      <c r="G95" t="s">
        <v>1146</v>
      </c>
      <c r="H95" t="s">
        <v>1135</v>
      </c>
      <c r="I95" t="s">
        <v>1256</v>
      </c>
      <c r="J95" t="s">
        <v>1287</v>
      </c>
      <c r="K95" t="s">
        <v>1133</v>
      </c>
      <c r="L95" t="s">
        <v>1272</v>
      </c>
    </row>
    <row r="96" spans="1:12">
      <c r="A96" t="s">
        <v>599</v>
      </c>
      <c r="B96" t="s">
        <v>600</v>
      </c>
      <c r="C96">
        <v>10.8060957</v>
      </c>
      <c r="D96">
        <v>106.7407594</v>
      </c>
      <c r="E96" t="s">
        <v>1127</v>
      </c>
      <c r="F96" t="s">
        <v>1133</v>
      </c>
      <c r="G96" t="s">
        <v>1146</v>
      </c>
      <c r="H96" t="s">
        <v>1135</v>
      </c>
      <c r="I96" t="s">
        <v>1256</v>
      </c>
      <c r="J96" t="s">
        <v>1287</v>
      </c>
      <c r="K96" t="s">
        <v>1133</v>
      </c>
      <c r="L96" t="s">
        <v>1272</v>
      </c>
    </row>
    <row r="97" spans="1:12">
      <c r="A97" t="s">
        <v>604</v>
      </c>
      <c r="B97" t="s">
        <v>605</v>
      </c>
      <c r="C97">
        <v>10.8042184</v>
      </c>
      <c r="D97">
        <v>106.72858220000001</v>
      </c>
      <c r="E97" t="s">
        <v>1127</v>
      </c>
      <c r="F97" t="s">
        <v>1133</v>
      </c>
      <c r="G97" t="s">
        <v>1146</v>
      </c>
      <c r="H97" t="s">
        <v>1135</v>
      </c>
      <c r="I97" t="s">
        <v>1256</v>
      </c>
      <c r="J97" t="s">
        <v>1287</v>
      </c>
      <c r="K97" t="s">
        <v>1133</v>
      </c>
      <c r="L97" t="s">
        <v>1272</v>
      </c>
    </row>
    <row r="98" spans="1:12">
      <c r="A98" t="s">
        <v>610</v>
      </c>
      <c r="B98" t="s">
        <v>611</v>
      </c>
      <c r="C98">
        <v>10.788841100000001</v>
      </c>
      <c r="D98">
        <v>106.7150518</v>
      </c>
      <c r="E98" t="s">
        <v>1124</v>
      </c>
      <c r="F98" t="s">
        <v>1133</v>
      </c>
      <c r="G98" t="s">
        <v>1622</v>
      </c>
      <c r="H98" t="s">
        <v>1135</v>
      </c>
      <c r="I98" t="s">
        <v>1259</v>
      </c>
      <c r="J98" t="s">
        <v>1291</v>
      </c>
      <c r="K98" t="s">
        <v>1133</v>
      </c>
      <c r="L98" t="s">
        <v>1623</v>
      </c>
    </row>
    <row r="99" spans="1:12">
      <c r="A99" t="s">
        <v>616</v>
      </c>
      <c r="B99" t="s">
        <v>617</v>
      </c>
      <c r="C99">
        <v>10.8086875</v>
      </c>
      <c r="D99">
        <v>106.7287477</v>
      </c>
      <c r="E99" t="s">
        <v>1127</v>
      </c>
      <c r="F99" t="s">
        <v>1133</v>
      </c>
      <c r="G99" t="s">
        <v>1146</v>
      </c>
      <c r="H99" t="s">
        <v>1135</v>
      </c>
      <c r="I99" t="s">
        <v>1256</v>
      </c>
      <c r="J99" t="s">
        <v>1287</v>
      </c>
      <c r="K99" t="s">
        <v>1133</v>
      </c>
      <c r="L99" t="s">
        <v>1290</v>
      </c>
    </row>
    <row r="100" spans="1:12">
      <c r="A100" t="s">
        <v>621</v>
      </c>
      <c r="B100" t="s">
        <v>622</v>
      </c>
      <c r="C100">
        <v>10.8047387</v>
      </c>
      <c r="D100">
        <v>106.7285675</v>
      </c>
      <c r="E100" t="s">
        <v>1127</v>
      </c>
      <c r="F100" t="s">
        <v>1133</v>
      </c>
      <c r="G100" t="s">
        <v>1146</v>
      </c>
      <c r="H100" t="s">
        <v>1135</v>
      </c>
      <c r="I100" t="s">
        <v>1256</v>
      </c>
      <c r="J100" t="s">
        <v>1287</v>
      </c>
      <c r="K100" t="s">
        <v>1133</v>
      </c>
      <c r="L100" t="s">
        <v>1272</v>
      </c>
    </row>
    <row r="101" spans="1:12">
      <c r="A101" t="s">
        <v>627</v>
      </c>
      <c r="B101" t="s">
        <v>628</v>
      </c>
      <c r="C101">
        <v>10.7983324</v>
      </c>
      <c r="D101">
        <v>106.7131962</v>
      </c>
      <c r="E101" t="s">
        <v>1124</v>
      </c>
      <c r="F101" t="s">
        <v>1133</v>
      </c>
      <c r="G101" t="s">
        <v>1272</v>
      </c>
      <c r="H101" t="s">
        <v>1135</v>
      </c>
      <c r="I101" t="s">
        <v>1258</v>
      </c>
      <c r="J101" t="s">
        <v>1284</v>
      </c>
      <c r="K101" t="s">
        <v>1138</v>
      </c>
      <c r="L101" t="s">
        <v>1646</v>
      </c>
    </row>
    <row r="102" spans="1:12">
      <c r="A102" t="s">
        <v>633</v>
      </c>
      <c r="B102" t="s">
        <v>634</v>
      </c>
      <c r="C102">
        <v>10.804266500000001</v>
      </c>
      <c r="D102">
        <v>106.74432539999999</v>
      </c>
      <c r="E102" t="s">
        <v>1127</v>
      </c>
      <c r="F102" t="s">
        <v>1133</v>
      </c>
      <c r="G102" t="s">
        <v>1146</v>
      </c>
      <c r="H102" t="s">
        <v>1135</v>
      </c>
      <c r="I102" t="s">
        <v>1256</v>
      </c>
      <c r="J102" t="s">
        <v>1287</v>
      </c>
      <c r="K102" t="s">
        <v>1133</v>
      </c>
      <c r="L102" t="s">
        <v>1290</v>
      </c>
    </row>
    <row r="103" spans="1:12">
      <c r="A103" t="s">
        <v>639</v>
      </c>
      <c r="B103" t="s">
        <v>640</v>
      </c>
      <c r="C103">
        <v>10.7942357</v>
      </c>
      <c r="D103">
        <v>106.7344837</v>
      </c>
      <c r="E103" t="s">
        <v>1127</v>
      </c>
      <c r="F103" t="s">
        <v>1133</v>
      </c>
      <c r="G103" t="s">
        <v>1147</v>
      </c>
      <c r="H103" t="s">
        <v>1135</v>
      </c>
      <c r="I103" t="s">
        <v>1262</v>
      </c>
      <c r="J103" t="s">
        <v>1289</v>
      </c>
      <c r="K103" t="s">
        <v>1138</v>
      </c>
      <c r="L103" t="s">
        <v>1272</v>
      </c>
    </row>
    <row r="104" spans="1:12">
      <c r="A104" t="s">
        <v>644</v>
      </c>
      <c r="B104" t="s">
        <v>645</v>
      </c>
      <c r="C104">
        <v>10.804643</v>
      </c>
      <c r="D104">
        <v>106.732175</v>
      </c>
      <c r="E104" t="s">
        <v>1127</v>
      </c>
      <c r="F104" t="s">
        <v>1133</v>
      </c>
      <c r="G104" t="s">
        <v>1146</v>
      </c>
      <c r="H104" t="s">
        <v>1135</v>
      </c>
      <c r="I104" t="s">
        <v>1256</v>
      </c>
      <c r="J104" t="s">
        <v>1287</v>
      </c>
      <c r="K104" t="s">
        <v>1133</v>
      </c>
      <c r="L104" t="s">
        <v>1290</v>
      </c>
    </row>
    <row r="105" spans="1:12">
      <c r="A105" t="s">
        <v>649</v>
      </c>
      <c r="B105" t="s">
        <v>650</v>
      </c>
      <c r="C105">
        <v>10.8040027</v>
      </c>
      <c r="D105">
        <v>106.7309875</v>
      </c>
      <c r="E105" t="s">
        <v>1127</v>
      </c>
      <c r="F105" t="s">
        <v>1133</v>
      </c>
      <c r="G105" t="s">
        <v>1146</v>
      </c>
      <c r="H105" t="s">
        <v>1135</v>
      </c>
      <c r="I105" t="s">
        <v>1256</v>
      </c>
      <c r="J105" t="s">
        <v>1287</v>
      </c>
      <c r="K105" t="s">
        <v>1133</v>
      </c>
      <c r="L105" t="s">
        <v>1272</v>
      </c>
    </row>
    <row r="106" spans="1:12">
      <c r="A106" t="s">
        <v>654</v>
      </c>
      <c r="B106" t="s">
        <v>655</v>
      </c>
      <c r="C106">
        <v>10.806095600000001</v>
      </c>
      <c r="D106">
        <v>106.7510874</v>
      </c>
      <c r="E106" t="s">
        <v>1127</v>
      </c>
      <c r="F106" t="s">
        <v>1133</v>
      </c>
      <c r="G106" t="s">
        <v>1147</v>
      </c>
      <c r="H106" t="s">
        <v>1135</v>
      </c>
      <c r="I106" t="s">
        <v>1256</v>
      </c>
      <c r="J106" t="s">
        <v>1287</v>
      </c>
      <c r="K106" t="s">
        <v>1133</v>
      </c>
      <c r="L106" t="s">
        <v>1272</v>
      </c>
    </row>
    <row r="107" spans="1:12">
      <c r="A107" t="s">
        <v>659</v>
      </c>
      <c r="B107" t="s">
        <v>660</v>
      </c>
      <c r="C107">
        <v>10.8120476</v>
      </c>
      <c r="D107">
        <v>106.7348551</v>
      </c>
      <c r="E107" t="s">
        <v>1127</v>
      </c>
      <c r="F107" t="s">
        <v>1133</v>
      </c>
      <c r="G107" t="s">
        <v>1146</v>
      </c>
      <c r="H107" t="s">
        <v>1135</v>
      </c>
      <c r="I107" t="s">
        <v>1256</v>
      </c>
      <c r="J107" t="s">
        <v>1287</v>
      </c>
      <c r="K107" t="s">
        <v>1133</v>
      </c>
      <c r="L107" t="s">
        <v>1272</v>
      </c>
    </row>
    <row r="108" spans="1:12">
      <c r="A108" t="s">
        <v>665</v>
      </c>
      <c r="B108" t="s">
        <v>666</v>
      </c>
      <c r="C108">
        <v>10.805527700000001</v>
      </c>
      <c r="D108">
        <v>106.73366300000001</v>
      </c>
      <c r="E108" t="s">
        <v>1127</v>
      </c>
      <c r="F108" t="s">
        <v>1133</v>
      </c>
      <c r="G108" t="s">
        <v>1146</v>
      </c>
      <c r="H108" t="s">
        <v>1135</v>
      </c>
      <c r="I108" t="s">
        <v>1256</v>
      </c>
      <c r="J108" t="s">
        <v>1287</v>
      </c>
      <c r="K108" t="s">
        <v>1133</v>
      </c>
      <c r="L108" t="s">
        <v>1290</v>
      </c>
    </row>
    <row r="109" spans="1:12">
      <c r="A109" t="s">
        <v>670</v>
      </c>
      <c r="B109" t="s">
        <v>671</v>
      </c>
      <c r="C109">
        <v>10.803137</v>
      </c>
      <c r="D109">
        <v>106.736952</v>
      </c>
      <c r="E109" t="s">
        <v>1127</v>
      </c>
      <c r="F109" t="s">
        <v>1133</v>
      </c>
      <c r="G109" t="s">
        <v>1146</v>
      </c>
      <c r="H109" t="s">
        <v>1135</v>
      </c>
      <c r="I109" t="s">
        <v>1256</v>
      </c>
      <c r="J109" t="s">
        <v>1287</v>
      </c>
      <c r="K109" t="s">
        <v>1133</v>
      </c>
      <c r="L109" t="s">
        <v>1272</v>
      </c>
    </row>
    <row r="110" spans="1:12">
      <c r="A110" t="s">
        <v>676</v>
      </c>
      <c r="B110" t="s">
        <v>677</v>
      </c>
      <c r="C110">
        <v>10.8035862</v>
      </c>
      <c r="D110">
        <v>106.72848260000001</v>
      </c>
      <c r="E110" t="s">
        <v>1127</v>
      </c>
      <c r="F110" t="s">
        <v>1133</v>
      </c>
      <c r="G110" t="s">
        <v>1146</v>
      </c>
      <c r="H110" t="s">
        <v>1135</v>
      </c>
      <c r="I110" t="s">
        <v>1256</v>
      </c>
      <c r="J110" t="s">
        <v>1287</v>
      </c>
      <c r="K110" t="s">
        <v>1133</v>
      </c>
      <c r="L110" t="s">
        <v>1272</v>
      </c>
    </row>
    <row r="111" spans="1:12">
      <c r="A111" t="s">
        <v>682</v>
      </c>
      <c r="B111" t="s">
        <v>683</v>
      </c>
      <c r="C111">
        <v>10.7938659</v>
      </c>
      <c r="D111">
        <v>106.73518009999999</v>
      </c>
      <c r="E111" t="s">
        <v>1127</v>
      </c>
      <c r="F111" t="s">
        <v>1133</v>
      </c>
      <c r="G111" t="s">
        <v>1146</v>
      </c>
      <c r="H111" t="s">
        <v>1135</v>
      </c>
      <c r="I111" t="s">
        <v>1262</v>
      </c>
      <c r="J111" t="s">
        <v>1289</v>
      </c>
      <c r="K111" t="s">
        <v>1138</v>
      </c>
      <c r="L111" t="s">
        <v>1272</v>
      </c>
    </row>
    <row r="112" spans="1:12">
      <c r="A112" t="s">
        <v>687</v>
      </c>
      <c r="B112" t="s">
        <v>688</v>
      </c>
      <c r="C112">
        <v>10.791938500000001</v>
      </c>
      <c r="D112">
        <v>106.7195364</v>
      </c>
      <c r="E112" t="s">
        <v>1124</v>
      </c>
      <c r="F112" t="s">
        <v>1133</v>
      </c>
      <c r="G112" t="s">
        <v>1136</v>
      </c>
      <c r="H112" t="s">
        <v>1135</v>
      </c>
      <c r="I112" t="s">
        <v>1259</v>
      </c>
      <c r="J112" t="s">
        <v>1291</v>
      </c>
      <c r="K112" t="s">
        <v>1138</v>
      </c>
      <c r="L112" t="s">
        <v>1272</v>
      </c>
    </row>
    <row r="113" spans="1:12">
      <c r="A113" t="s">
        <v>693</v>
      </c>
      <c r="B113" t="s">
        <v>694</v>
      </c>
      <c r="C113">
        <v>10.8044683</v>
      </c>
      <c r="D113">
        <v>106.73955479999999</v>
      </c>
      <c r="E113" t="s">
        <v>1127</v>
      </c>
      <c r="F113" t="s">
        <v>1133</v>
      </c>
      <c r="G113" t="s">
        <v>1146</v>
      </c>
      <c r="H113" t="s">
        <v>1135</v>
      </c>
      <c r="I113" t="s">
        <v>1256</v>
      </c>
      <c r="J113" t="s">
        <v>1287</v>
      </c>
      <c r="K113" t="s">
        <v>1133</v>
      </c>
      <c r="L113" t="s">
        <v>1272</v>
      </c>
    </row>
    <row r="114" spans="1:12">
      <c r="A114" t="s">
        <v>698</v>
      </c>
      <c r="B114" t="s">
        <v>699</v>
      </c>
      <c r="C114">
        <v>10.768231</v>
      </c>
      <c r="D114">
        <v>106.693986</v>
      </c>
      <c r="E114" t="s">
        <v>1123</v>
      </c>
      <c r="F114" t="s">
        <v>1133</v>
      </c>
      <c r="G114" t="s">
        <v>1134</v>
      </c>
      <c r="H114" t="s">
        <v>1135</v>
      </c>
      <c r="I114" t="s">
        <v>1249</v>
      </c>
      <c r="J114" t="s">
        <v>1282</v>
      </c>
      <c r="K114" t="s">
        <v>1138</v>
      </c>
      <c r="L114" t="s">
        <v>1272</v>
      </c>
    </row>
    <row r="115" spans="1:12">
      <c r="A115" t="s">
        <v>704</v>
      </c>
      <c r="B115" t="s">
        <v>705</v>
      </c>
      <c r="C115">
        <v>10.8031576</v>
      </c>
      <c r="D115">
        <v>106.752121</v>
      </c>
      <c r="E115" t="s">
        <v>1127</v>
      </c>
      <c r="F115" t="s">
        <v>1133</v>
      </c>
      <c r="G115" t="s">
        <v>1146</v>
      </c>
      <c r="H115" t="s">
        <v>1135</v>
      </c>
      <c r="I115" t="s">
        <v>1256</v>
      </c>
      <c r="J115" t="s">
        <v>1287</v>
      </c>
      <c r="K115" t="s">
        <v>1133</v>
      </c>
      <c r="L115" t="s">
        <v>1272</v>
      </c>
    </row>
    <row r="116" spans="1:12">
      <c r="A116" t="s">
        <v>710</v>
      </c>
      <c r="B116" t="s">
        <v>711</v>
      </c>
      <c r="C116">
        <v>10.765355899999999</v>
      </c>
      <c r="D116">
        <v>106.6866134</v>
      </c>
      <c r="E116" t="s">
        <v>1123</v>
      </c>
      <c r="F116" t="s">
        <v>1133</v>
      </c>
      <c r="G116" t="s">
        <v>1622</v>
      </c>
      <c r="H116" t="s">
        <v>1135</v>
      </c>
      <c r="I116" t="s">
        <v>1647</v>
      </c>
      <c r="J116" t="s">
        <v>1648</v>
      </c>
      <c r="K116" t="s">
        <v>1133</v>
      </c>
      <c r="L116" t="s">
        <v>1623</v>
      </c>
    </row>
    <row r="117" spans="1:12">
      <c r="A117" t="s">
        <v>716</v>
      </c>
      <c r="B117" t="s">
        <v>717</v>
      </c>
      <c r="C117">
        <v>10.802813499999999</v>
      </c>
      <c r="D117">
        <v>106.7304438</v>
      </c>
      <c r="E117" t="s">
        <v>1127</v>
      </c>
      <c r="F117" t="s">
        <v>1133</v>
      </c>
      <c r="G117" t="s">
        <v>1146</v>
      </c>
      <c r="H117" t="s">
        <v>1135</v>
      </c>
      <c r="I117" t="s">
        <v>1256</v>
      </c>
      <c r="J117" t="s">
        <v>1287</v>
      </c>
      <c r="K117" t="s">
        <v>1133</v>
      </c>
      <c r="L117" t="s">
        <v>1272</v>
      </c>
    </row>
    <row r="118" spans="1:12">
      <c r="A118" t="s">
        <v>720</v>
      </c>
      <c r="B118" t="s">
        <v>721</v>
      </c>
      <c r="C118">
        <v>10.7589212</v>
      </c>
      <c r="D118">
        <v>106.70116229999999</v>
      </c>
      <c r="E118" t="s">
        <v>1649</v>
      </c>
      <c r="F118" t="s">
        <v>1133</v>
      </c>
      <c r="G118" t="s">
        <v>1637</v>
      </c>
      <c r="H118" t="s">
        <v>1180</v>
      </c>
      <c r="I118" t="s">
        <v>1650</v>
      </c>
      <c r="J118" t="s">
        <v>1651</v>
      </c>
      <c r="K118" t="s">
        <v>1133</v>
      </c>
      <c r="L118" t="s">
        <v>1652</v>
      </c>
    </row>
    <row r="119" spans="1:12">
      <c r="A119" t="s">
        <v>725</v>
      </c>
      <c r="B119" t="s">
        <v>726</v>
      </c>
      <c r="C119">
        <v>10.778975300000001</v>
      </c>
      <c r="D119">
        <v>106.71369660000001</v>
      </c>
      <c r="E119" t="s">
        <v>1127</v>
      </c>
      <c r="F119" t="s">
        <v>1133</v>
      </c>
      <c r="G119" t="s">
        <v>1146</v>
      </c>
      <c r="H119" t="s">
        <v>1135</v>
      </c>
      <c r="I119" t="s">
        <v>1292</v>
      </c>
      <c r="J119" t="s">
        <v>1293</v>
      </c>
      <c r="K119" t="s">
        <v>1138</v>
      </c>
      <c r="L119" t="s">
        <v>1272</v>
      </c>
    </row>
    <row r="120" spans="1:12">
      <c r="A120" t="s">
        <v>731</v>
      </c>
      <c r="B120" t="s">
        <v>732</v>
      </c>
      <c r="C120">
        <v>10.765075599999999</v>
      </c>
      <c r="D120">
        <v>106.69737809999999</v>
      </c>
      <c r="E120" t="s">
        <v>1123</v>
      </c>
      <c r="F120" t="s">
        <v>1133</v>
      </c>
      <c r="G120" t="s">
        <v>1134</v>
      </c>
      <c r="H120" t="s">
        <v>1135</v>
      </c>
      <c r="I120" t="s">
        <v>1255</v>
      </c>
      <c r="J120" t="s">
        <v>1294</v>
      </c>
      <c r="K120" t="s">
        <v>1138</v>
      </c>
      <c r="L120" t="s">
        <v>1272</v>
      </c>
    </row>
    <row r="121" spans="1:12">
      <c r="A121" t="s">
        <v>736</v>
      </c>
      <c r="B121" t="s">
        <v>737</v>
      </c>
      <c r="C121">
        <v>10.788587700000001</v>
      </c>
      <c r="D121">
        <v>106.7301262</v>
      </c>
      <c r="E121" t="s">
        <v>1127</v>
      </c>
      <c r="F121" t="s">
        <v>1133</v>
      </c>
      <c r="G121" t="s">
        <v>1146</v>
      </c>
      <c r="H121" t="s">
        <v>1135</v>
      </c>
      <c r="I121" t="s">
        <v>1262</v>
      </c>
      <c r="J121" t="s">
        <v>1289</v>
      </c>
      <c r="K121" t="s">
        <v>1138</v>
      </c>
      <c r="L121" t="s">
        <v>1272</v>
      </c>
    </row>
    <row r="122" spans="1:12">
      <c r="A122" t="s">
        <v>741</v>
      </c>
      <c r="B122" t="s">
        <v>742</v>
      </c>
      <c r="C122">
        <v>10.7649171</v>
      </c>
      <c r="D122">
        <v>106.6947502</v>
      </c>
      <c r="E122" t="s">
        <v>1123</v>
      </c>
      <c r="F122" t="s">
        <v>1133</v>
      </c>
      <c r="G122" t="s">
        <v>1134</v>
      </c>
      <c r="H122" t="s">
        <v>1135</v>
      </c>
      <c r="I122" t="s">
        <v>1254</v>
      </c>
      <c r="J122" t="s">
        <v>1295</v>
      </c>
      <c r="K122" t="s">
        <v>1138</v>
      </c>
      <c r="L122" t="s">
        <v>1272</v>
      </c>
    </row>
    <row r="123" spans="1:12">
      <c r="A123" t="s">
        <v>746</v>
      </c>
      <c r="B123" t="s">
        <v>747</v>
      </c>
      <c r="C123">
        <v>10.768589</v>
      </c>
      <c r="D123">
        <v>106.69807400000001</v>
      </c>
      <c r="E123" t="s">
        <v>1123</v>
      </c>
      <c r="F123" t="s">
        <v>1133</v>
      </c>
      <c r="G123" t="s">
        <v>1134</v>
      </c>
      <c r="H123" t="s">
        <v>1135</v>
      </c>
      <c r="I123" t="s">
        <v>1249</v>
      </c>
      <c r="J123" t="s">
        <v>1282</v>
      </c>
      <c r="K123" t="s">
        <v>1138</v>
      </c>
      <c r="L123" t="s">
        <v>1272</v>
      </c>
    </row>
    <row r="124" spans="1:12">
      <c r="A124" t="s">
        <v>752</v>
      </c>
      <c r="B124" t="s">
        <v>753</v>
      </c>
      <c r="C124">
        <v>10.7682442</v>
      </c>
      <c r="D124">
        <v>106.6936304</v>
      </c>
      <c r="E124" t="s">
        <v>1123</v>
      </c>
      <c r="F124" t="s">
        <v>1133</v>
      </c>
      <c r="G124" t="s">
        <v>1134</v>
      </c>
      <c r="H124" t="s">
        <v>1135</v>
      </c>
      <c r="I124" t="s">
        <v>1249</v>
      </c>
      <c r="J124" t="s">
        <v>1282</v>
      </c>
      <c r="K124" t="s">
        <v>1138</v>
      </c>
      <c r="L124" t="s">
        <v>1272</v>
      </c>
    </row>
    <row r="125" spans="1:12">
      <c r="A125" t="s">
        <v>758</v>
      </c>
      <c r="B125" t="s">
        <v>759</v>
      </c>
      <c r="C125">
        <v>10.803716400000001</v>
      </c>
      <c r="D125">
        <v>106.7349952</v>
      </c>
      <c r="E125" t="s">
        <v>1127</v>
      </c>
      <c r="F125" t="s">
        <v>1133</v>
      </c>
      <c r="G125" t="s">
        <v>1146</v>
      </c>
      <c r="H125" t="s">
        <v>1135</v>
      </c>
      <c r="I125" t="s">
        <v>1256</v>
      </c>
      <c r="J125" t="s">
        <v>1287</v>
      </c>
      <c r="K125" t="s">
        <v>1133</v>
      </c>
      <c r="L125" t="s">
        <v>1272</v>
      </c>
    </row>
    <row r="126" spans="1:12">
      <c r="A126" t="s">
        <v>764</v>
      </c>
      <c r="B126" t="s">
        <v>765</v>
      </c>
      <c r="C126">
        <v>10.803569400000001</v>
      </c>
      <c r="D126">
        <v>106.72105120000001</v>
      </c>
      <c r="E126" t="s">
        <v>1124</v>
      </c>
      <c r="F126" t="s">
        <v>1133</v>
      </c>
      <c r="G126" t="s">
        <v>1136</v>
      </c>
      <c r="H126" t="s">
        <v>1135</v>
      </c>
      <c r="I126" t="s">
        <v>1259</v>
      </c>
      <c r="J126" t="s">
        <v>1291</v>
      </c>
      <c r="K126" t="s">
        <v>1138</v>
      </c>
      <c r="L126" t="s">
        <v>1272</v>
      </c>
    </row>
    <row r="127" spans="1:12">
      <c r="A127" t="s">
        <v>770</v>
      </c>
      <c r="B127" t="s">
        <v>771</v>
      </c>
      <c r="C127">
        <v>10.723496000000001</v>
      </c>
      <c r="D127">
        <v>106.7280633</v>
      </c>
      <c r="E127" t="s">
        <v>1128</v>
      </c>
      <c r="F127" t="s">
        <v>1133</v>
      </c>
      <c r="G127" t="s">
        <v>1148</v>
      </c>
      <c r="H127" t="s">
        <v>1135</v>
      </c>
      <c r="I127" t="s">
        <v>1264</v>
      </c>
      <c r="J127" t="s">
        <v>1296</v>
      </c>
      <c r="K127" t="s">
        <v>1138</v>
      </c>
      <c r="L127" t="s">
        <v>1272</v>
      </c>
    </row>
    <row r="128" spans="1:12">
      <c r="A128" t="s">
        <v>775</v>
      </c>
      <c r="B128" t="s">
        <v>776</v>
      </c>
      <c r="C128">
        <v>10.723496799999999</v>
      </c>
      <c r="D128">
        <v>106.7281066</v>
      </c>
      <c r="E128" t="s">
        <v>1128</v>
      </c>
      <c r="F128" t="s">
        <v>1133</v>
      </c>
      <c r="G128" t="s">
        <v>1148</v>
      </c>
      <c r="H128" t="s">
        <v>1135</v>
      </c>
      <c r="I128" t="s">
        <v>1264</v>
      </c>
      <c r="J128" t="s">
        <v>1296</v>
      </c>
      <c r="K128" t="s">
        <v>1138</v>
      </c>
      <c r="L128" t="s">
        <v>1272</v>
      </c>
    </row>
    <row r="129" spans="1:12">
      <c r="A129" t="s">
        <v>780</v>
      </c>
      <c r="B129" t="s">
        <v>781</v>
      </c>
      <c r="C129">
        <v>10.7198048</v>
      </c>
      <c r="D129">
        <v>106.73119060000001</v>
      </c>
      <c r="E129" t="s">
        <v>1128</v>
      </c>
      <c r="F129" t="s">
        <v>1133</v>
      </c>
      <c r="G129" t="s">
        <v>1148</v>
      </c>
      <c r="H129" t="s">
        <v>1135</v>
      </c>
      <c r="I129" t="s">
        <v>1264</v>
      </c>
      <c r="J129" t="s">
        <v>1296</v>
      </c>
      <c r="K129" t="s">
        <v>1138</v>
      </c>
      <c r="L129" t="s">
        <v>1272</v>
      </c>
    </row>
    <row r="130" spans="1:12">
      <c r="A130" t="s">
        <v>786</v>
      </c>
      <c r="B130" t="s">
        <v>787</v>
      </c>
      <c r="C130">
        <v>10.727579199999999</v>
      </c>
      <c r="D130">
        <v>106.7124718</v>
      </c>
      <c r="E130" t="s">
        <v>1128</v>
      </c>
      <c r="F130" t="s">
        <v>1133</v>
      </c>
      <c r="G130" t="s">
        <v>1148</v>
      </c>
      <c r="H130" t="s">
        <v>1135</v>
      </c>
      <c r="I130" t="s">
        <v>1263</v>
      </c>
      <c r="J130" t="s">
        <v>1297</v>
      </c>
      <c r="K130" t="s">
        <v>1133</v>
      </c>
      <c r="L130" t="s">
        <v>1298</v>
      </c>
    </row>
    <row r="131" spans="1:12">
      <c r="A131" t="s">
        <v>793</v>
      </c>
      <c r="B131" t="s">
        <v>794</v>
      </c>
      <c r="C131">
        <v>10.7502899</v>
      </c>
      <c r="D131">
        <v>106.73561340000001</v>
      </c>
      <c r="E131" t="s">
        <v>1128</v>
      </c>
      <c r="F131" t="s">
        <v>1133</v>
      </c>
      <c r="G131" t="s">
        <v>1149</v>
      </c>
      <c r="H131" t="s">
        <v>1135</v>
      </c>
      <c r="I131" t="s">
        <v>1299</v>
      </c>
      <c r="J131" t="s">
        <v>1300</v>
      </c>
      <c r="K131" t="s">
        <v>1138</v>
      </c>
      <c r="L131" t="s">
        <v>1272</v>
      </c>
    </row>
    <row r="132" spans="1:12">
      <c r="A132" t="s">
        <v>800</v>
      </c>
      <c r="B132" t="s">
        <v>801</v>
      </c>
      <c r="C132">
        <v>10.722410999999999</v>
      </c>
      <c r="D132">
        <v>106.7124706</v>
      </c>
      <c r="E132" t="s">
        <v>1128</v>
      </c>
      <c r="F132" t="s">
        <v>1133</v>
      </c>
      <c r="G132" t="s">
        <v>1148</v>
      </c>
      <c r="H132" t="s">
        <v>1135</v>
      </c>
      <c r="I132" t="s">
        <v>1263</v>
      </c>
      <c r="J132" t="s">
        <v>1297</v>
      </c>
      <c r="K132" t="s">
        <v>1138</v>
      </c>
      <c r="L132" t="s">
        <v>1272</v>
      </c>
    </row>
    <row r="133" spans="1:12">
      <c r="A133" t="s">
        <v>805</v>
      </c>
      <c r="B133" t="s">
        <v>806</v>
      </c>
      <c r="C133">
        <v>10.730053399999999</v>
      </c>
      <c r="D133">
        <v>106.7094791</v>
      </c>
      <c r="E133" t="s">
        <v>1128</v>
      </c>
      <c r="F133" t="s">
        <v>1133</v>
      </c>
      <c r="G133" t="s">
        <v>1148</v>
      </c>
      <c r="H133" t="s">
        <v>1135</v>
      </c>
      <c r="I133" t="s">
        <v>1263</v>
      </c>
      <c r="J133" t="s">
        <v>1297</v>
      </c>
      <c r="K133" t="s">
        <v>1138</v>
      </c>
      <c r="L133" t="s">
        <v>1272</v>
      </c>
    </row>
    <row r="134" spans="1:12">
      <c r="A134" t="s">
        <v>810</v>
      </c>
      <c r="B134" t="s">
        <v>811</v>
      </c>
      <c r="C134">
        <v>10.7280502</v>
      </c>
      <c r="D134">
        <v>106.7103638</v>
      </c>
      <c r="E134" t="s">
        <v>1128</v>
      </c>
      <c r="F134" t="s">
        <v>1133</v>
      </c>
      <c r="G134" t="s">
        <v>1148</v>
      </c>
      <c r="H134" t="s">
        <v>1135</v>
      </c>
      <c r="I134" t="s">
        <v>1263</v>
      </c>
      <c r="J134" t="s">
        <v>1297</v>
      </c>
      <c r="K134" t="s">
        <v>1133</v>
      </c>
      <c r="L134" t="s">
        <v>1301</v>
      </c>
    </row>
    <row r="135" spans="1:12">
      <c r="A135" t="s">
        <v>815</v>
      </c>
      <c r="B135" t="s">
        <v>816</v>
      </c>
      <c r="C135">
        <v>10.733912500000001</v>
      </c>
      <c r="D135">
        <v>106.70202279999999</v>
      </c>
      <c r="E135" t="s">
        <v>1128</v>
      </c>
      <c r="F135" t="s">
        <v>1133</v>
      </c>
      <c r="G135" t="s">
        <v>1148</v>
      </c>
      <c r="H135" t="s">
        <v>1135</v>
      </c>
      <c r="I135" t="s">
        <v>1266</v>
      </c>
      <c r="J135" t="s">
        <v>1302</v>
      </c>
      <c r="K135" t="s">
        <v>1138</v>
      </c>
      <c r="L135" t="s">
        <v>1303</v>
      </c>
    </row>
    <row r="136" spans="1:12">
      <c r="A136" t="s">
        <v>821</v>
      </c>
      <c r="B136" t="s">
        <v>822</v>
      </c>
      <c r="C136">
        <v>10.733362700000001</v>
      </c>
      <c r="D136">
        <v>106.7068561</v>
      </c>
      <c r="E136" t="s">
        <v>1128</v>
      </c>
      <c r="F136" t="s">
        <v>1133</v>
      </c>
      <c r="G136" t="s">
        <v>1148</v>
      </c>
      <c r="H136" t="s">
        <v>1135</v>
      </c>
      <c r="I136" t="s">
        <v>1266</v>
      </c>
      <c r="J136" t="s">
        <v>1302</v>
      </c>
      <c r="K136" t="s">
        <v>1138</v>
      </c>
      <c r="L136" t="s">
        <v>1272</v>
      </c>
    </row>
    <row r="137" spans="1:12">
      <c r="A137" t="s">
        <v>826</v>
      </c>
      <c r="B137" t="s">
        <v>827</v>
      </c>
      <c r="C137">
        <v>10.7045066</v>
      </c>
      <c r="D137">
        <v>106.7360413</v>
      </c>
      <c r="E137" t="s">
        <v>1128</v>
      </c>
      <c r="F137" t="s">
        <v>1133</v>
      </c>
      <c r="G137" t="s">
        <v>1148</v>
      </c>
      <c r="H137" t="s">
        <v>1135</v>
      </c>
      <c r="I137" t="s">
        <v>1264</v>
      </c>
      <c r="J137" t="s">
        <v>1296</v>
      </c>
      <c r="K137" t="s">
        <v>1138</v>
      </c>
      <c r="L137" t="s">
        <v>1272</v>
      </c>
    </row>
    <row r="138" spans="1:12">
      <c r="A138" t="s">
        <v>831</v>
      </c>
      <c r="B138" t="s">
        <v>832</v>
      </c>
      <c r="C138">
        <v>10.751741300000001</v>
      </c>
      <c r="D138">
        <v>106.7139471</v>
      </c>
      <c r="E138" t="s">
        <v>1128</v>
      </c>
      <c r="F138" t="s">
        <v>1133</v>
      </c>
      <c r="G138" t="s">
        <v>1149</v>
      </c>
      <c r="H138" t="s">
        <v>1135</v>
      </c>
      <c r="I138" t="s">
        <v>1265</v>
      </c>
      <c r="J138" t="s">
        <v>1304</v>
      </c>
      <c r="K138" t="s">
        <v>1138</v>
      </c>
      <c r="L138" t="s">
        <v>1272</v>
      </c>
    </row>
    <row r="139" spans="1:12">
      <c r="A139" t="s">
        <v>837</v>
      </c>
      <c r="B139" t="s">
        <v>838</v>
      </c>
      <c r="C139">
        <v>10.7516213</v>
      </c>
      <c r="D139">
        <v>106.7081845</v>
      </c>
      <c r="E139" t="s">
        <v>1128</v>
      </c>
      <c r="F139" t="s">
        <v>1133</v>
      </c>
      <c r="G139" t="s">
        <v>1149</v>
      </c>
      <c r="H139" t="s">
        <v>1135</v>
      </c>
      <c r="I139" t="s">
        <v>1265</v>
      </c>
      <c r="J139" t="s">
        <v>1304</v>
      </c>
      <c r="K139" t="s">
        <v>1138</v>
      </c>
      <c r="L139" t="s">
        <v>1272</v>
      </c>
    </row>
    <row r="140" spans="1:12">
      <c r="A140" t="s">
        <v>843</v>
      </c>
      <c r="B140" t="s">
        <v>844</v>
      </c>
      <c r="C140">
        <v>10.7531154</v>
      </c>
      <c r="D140">
        <v>106.69995280000001</v>
      </c>
      <c r="E140" t="s">
        <v>1649</v>
      </c>
      <c r="F140" t="s">
        <v>1138</v>
      </c>
      <c r="G140" t="s">
        <v>1622</v>
      </c>
      <c r="H140" t="s">
        <v>1180</v>
      </c>
      <c r="I140" t="s">
        <v>1653</v>
      </c>
      <c r="J140" t="s">
        <v>1654</v>
      </c>
      <c r="K140" t="s">
        <v>1138</v>
      </c>
      <c r="L140" t="s">
        <v>1655</v>
      </c>
    </row>
    <row r="141" spans="1:12">
      <c r="A141" t="s">
        <v>848</v>
      </c>
      <c r="B141" t="s">
        <v>849</v>
      </c>
      <c r="C141">
        <v>10.739927099999999</v>
      </c>
      <c r="D141">
        <v>106.71049259999999</v>
      </c>
      <c r="E141" t="s">
        <v>1128</v>
      </c>
      <c r="F141" t="s">
        <v>1133</v>
      </c>
      <c r="G141" t="s">
        <v>1148</v>
      </c>
      <c r="H141" t="s">
        <v>1135</v>
      </c>
      <c r="I141" t="s">
        <v>1266</v>
      </c>
      <c r="J141" t="s">
        <v>1302</v>
      </c>
      <c r="K141" t="s">
        <v>1138</v>
      </c>
      <c r="L141" t="s">
        <v>1272</v>
      </c>
    </row>
    <row r="142" spans="1:12">
      <c r="A142" t="s">
        <v>853</v>
      </c>
      <c r="B142" t="s">
        <v>854</v>
      </c>
      <c r="C142">
        <v>10.754336</v>
      </c>
      <c r="D142">
        <v>106.6832464</v>
      </c>
      <c r="E142" t="s">
        <v>1656</v>
      </c>
      <c r="F142" t="s">
        <v>1133</v>
      </c>
      <c r="G142" t="s">
        <v>1637</v>
      </c>
      <c r="H142" t="s">
        <v>1180</v>
      </c>
      <c r="I142" t="s">
        <v>1624</v>
      </c>
      <c r="J142" t="s">
        <v>1657</v>
      </c>
      <c r="K142" t="s">
        <v>1133</v>
      </c>
      <c r="L142" t="s">
        <v>1652</v>
      </c>
    </row>
    <row r="143" spans="1:12">
      <c r="A143" t="s">
        <v>859</v>
      </c>
      <c r="B143" t="s">
        <v>860</v>
      </c>
      <c r="C143">
        <v>10.749494800000001</v>
      </c>
      <c r="D143">
        <v>106.70502639999999</v>
      </c>
      <c r="E143" t="s">
        <v>1128</v>
      </c>
      <c r="F143" t="s">
        <v>1133</v>
      </c>
      <c r="G143" t="s">
        <v>1149</v>
      </c>
      <c r="H143" t="s">
        <v>1135</v>
      </c>
      <c r="I143" t="s">
        <v>1265</v>
      </c>
      <c r="J143" t="s">
        <v>1304</v>
      </c>
      <c r="K143" t="s">
        <v>1138</v>
      </c>
      <c r="L143" t="s">
        <v>1272</v>
      </c>
    </row>
    <row r="144" spans="1:12">
      <c r="A144" t="s">
        <v>865</v>
      </c>
      <c r="B144" t="s">
        <v>866</v>
      </c>
      <c r="C144">
        <v>10.7380213</v>
      </c>
      <c r="D144">
        <v>106.7304498</v>
      </c>
      <c r="E144" t="s">
        <v>1128</v>
      </c>
      <c r="F144" t="s">
        <v>1133</v>
      </c>
      <c r="G144" t="s">
        <v>1148</v>
      </c>
      <c r="H144" t="s">
        <v>1135</v>
      </c>
      <c r="I144" t="s">
        <v>1305</v>
      </c>
      <c r="J144" t="s">
        <v>1306</v>
      </c>
      <c r="K144" t="s">
        <v>1138</v>
      </c>
      <c r="L144" t="s">
        <v>1272</v>
      </c>
    </row>
    <row r="145" spans="1:12">
      <c r="A145" t="s">
        <v>871</v>
      </c>
      <c r="B145" t="s">
        <v>872</v>
      </c>
      <c r="C145">
        <v>10.718044799999999</v>
      </c>
      <c r="D145">
        <v>106.7297147</v>
      </c>
      <c r="E145" t="s">
        <v>1128</v>
      </c>
      <c r="F145" t="s">
        <v>1133</v>
      </c>
      <c r="G145" t="s">
        <v>1148</v>
      </c>
      <c r="H145" t="s">
        <v>1135</v>
      </c>
      <c r="I145" t="s">
        <v>1264</v>
      </c>
      <c r="J145" t="s">
        <v>1296</v>
      </c>
      <c r="K145" t="s">
        <v>1138</v>
      </c>
      <c r="L145" t="s">
        <v>1272</v>
      </c>
    </row>
    <row r="146" spans="1:12">
      <c r="A146" t="s">
        <v>878</v>
      </c>
      <c r="B146" t="s">
        <v>879</v>
      </c>
      <c r="C146">
        <v>10.720801700000001</v>
      </c>
      <c r="D146">
        <v>106.7272066</v>
      </c>
      <c r="E146" t="s">
        <v>1128</v>
      </c>
      <c r="F146" t="s">
        <v>1133</v>
      </c>
      <c r="G146" t="s">
        <v>1148</v>
      </c>
      <c r="H146" t="s">
        <v>1135</v>
      </c>
      <c r="I146" t="s">
        <v>1264</v>
      </c>
      <c r="J146" t="s">
        <v>1296</v>
      </c>
      <c r="K146" t="s">
        <v>1138</v>
      </c>
      <c r="L146" t="s">
        <v>1272</v>
      </c>
    </row>
    <row r="147" spans="1:12">
      <c r="A147" t="s">
        <v>883</v>
      </c>
      <c r="B147" t="s">
        <v>884</v>
      </c>
      <c r="C147">
        <v>10.7850596</v>
      </c>
      <c r="D147">
        <v>106.700441</v>
      </c>
      <c r="E147" t="s">
        <v>1123</v>
      </c>
      <c r="F147" t="s">
        <v>1133</v>
      </c>
      <c r="G147" t="s">
        <v>1134</v>
      </c>
      <c r="H147" t="s">
        <v>1135</v>
      </c>
      <c r="I147" t="s">
        <v>1253</v>
      </c>
      <c r="J147" t="s">
        <v>1273</v>
      </c>
      <c r="K147" t="s">
        <v>1138</v>
      </c>
      <c r="L147" t="s">
        <v>1272</v>
      </c>
    </row>
    <row r="148" spans="1:12">
      <c r="A148" t="s">
        <v>888</v>
      </c>
      <c r="B148" t="s">
        <v>889</v>
      </c>
      <c r="C148">
        <v>10.788226099999999</v>
      </c>
      <c r="D148">
        <v>106.6965514</v>
      </c>
      <c r="E148" t="s">
        <v>1123</v>
      </c>
      <c r="F148" t="s">
        <v>1133</v>
      </c>
      <c r="G148" t="s">
        <v>1134</v>
      </c>
      <c r="H148" t="s">
        <v>1135</v>
      </c>
      <c r="I148" t="s">
        <v>1253</v>
      </c>
      <c r="J148" t="s">
        <v>1273</v>
      </c>
      <c r="K148" t="s">
        <v>1138</v>
      </c>
      <c r="L148" t="s">
        <v>1272</v>
      </c>
    </row>
    <row r="149" spans="1:12">
      <c r="A149" t="s">
        <v>892</v>
      </c>
      <c r="B149" t="s">
        <v>893</v>
      </c>
      <c r="C149">
        <v>10.791629800000001</v>
      </c>
      <c r="D149">
        <v>106.6902393</v>
      </c>
      <c r="E149" t="s">
        <v>1125</v>
      </c>
      <c r="F149" t="s">
        <v>1138</v>
      </c>
      <c r="G149" t="s">
        <v>1139</v>
      </c>
      <c r="H149" t="s">
        <v>1135</v>
      </c>
      <c r="I149" t="s">
        <v>1260</v>
      </c>
      <c r="J149" t="s">
        <v>1280</v>
      </c>
      <c r="K149" t="s">
        <v>1138</v>
      </c>
      <c r="L149" t="s">
        <v>1272</v>
      </c>
    </row>
    <row r="150" spans="1:12">
      <c r="A150" t="s">
        <v>898</v>
      </c>
      <c r="B150" t="s">
        <v>899</v>
      </c>
      <c r="C150">
        <v>10.790853800000001</v>
      </c>
      <c r="D150">
        <v>106.6968248</v>
      </c>
      <c r="E150" t="s">
        <v>1123</v>
      </c>
      <c r="F150" t="s">
        <v>1133</v>
      </c>
      <c r="G150" t="s">
        <v>1134</v>
      </c>
      <c r="H150" t="s">
        <v>1135</v>
      </c>
      <c r="I150" t="s">
        <v>1253</v>
      </c>
      <c r="J150" t="s">
        <v>1273</v>
      </c>
      <c r="K150" t="s">
        <v>1138</v>
      </c>
      <c r="L150" t="s">
        <v>1272</v>
      </c>
    </row>
    <row r="151" spans="1:12">
      <c r="A151" t="s">
        <v>903</v>
      </c>
      <c r="B151" t="s">
        <v>904</v>
      </c>
      <c r="C151">
        <v>10.787120399999999</v>
      </c>
      <c r="D151">
        <v>106.69605319999999</v>
      </c>
      <c r="E151" t="s">
        <v>1123</v>
      </c>
      <c r="F151" t="s">
        <v>1133</v>
      </c>
      <c r="G151" t="s">
        <v>1134</v>
      </c>
      <c r="H151" t="s">
        <v>1135</v>
      </c>
      <c r="I151" t="s">
        <v>1253</v>
      </c>
      <c r="J151" t="s">
        <v>1273</v>
      </c>
      <c r="K151" t="s">
        <v>1138</v>
      </c>
      <c r="L151" t="s">
        <v>1272</v>
      </c>
    </row>
    <row r="152" spans="1:12">
      <c r="A152" t="s">
        <v>908</v>
      </c>
      <c r="B152" t="s">
        <v>909</v>
      </c>
      <c r="C152">
        <v>10.785833800000001</v>
      </c>
      <c r="D152">
        <v>106.6942744</v>
      </c>
      <c r="E152" t="s">
        <v>1123</v>
      </c>
      <c r="F152" t="s">
        <v>1133</v>
      </c>
      <c r="G152" t="s">
        <v>1134</v>
      </c>
      <c r="H152" t="s">
        <v>1135</v>
      </c>
      <c r="I152" t="s">
        <v>1253</v>
      </c>
      <c r="J152" t="s">
        <v>1273</v>
      </c>
      <c r="K152" t="s">
        <v>1138</v>
      </c>
      <c r="L152" t="s">
        <v>1272</v>
      </c>
    </row>
    <row r="153" spans="1:12">
      <c r="A153" t="s">
        <v>914</v>
      </c>
      <c r="B153" t="s">
        <v>915</v>
      </c>
      <c r="C153">
        <v>10.7904632</v>
      </c>
      <c r="D153">
        <v>106.6906548</v>
      </c>
      <c r="E153" t="s">
        <v>1123</v>
      </c>
      <c r="F153" t="s">
        <v>1133</v>
      </c>
      <c r="G153" t="s">
        <v>1134</v>
      </c>
      <c r="H153" t="s">
        <v>1135</v>
      </c>
      <c r="I153" t="s">
        <v>1250</v>
      </c>
      <c r="J153" t="s">
        <v>1277</v>
      </c>
      <c r="K153" t="s">
        <v>1138</v>
      </c>
      <c r="L153" t="s">
        <v>1272</v>
      </c>
    </row>
    <row r="154" spans="1:12">
      <c r="A154" t="s">
        <v>919</v>
      </c>
      <c r="B154" t="s">
        <v>920</v>
      </c>
      <c r="C154">
        <v>10.791911900000001</v>
      </c>
      <c r="D154">
        <v>106.7002651</v>
      </c>
      <c r="E154" t="s">
        <v>1123</v>
      </c>
      <c r="F154" t="s">
        <v>1133</v>
      </c>
      <c r="G154" t="s">
        <v>1134</v>
      </c>
      <c r="H154" t="s">
        <v>1135</v>
      </c>
      <c r="I154" t="s">
        <v>1253</v>
      </c>
      <c r="J154" t="s">
        <v>1273</v>
      </c>
      <c r="K154" t="s">
        <v>1138</v>
      </c>
      <c r="L154" t="s">
        <v>1272</v>
      </c>
    </row>
    <row r="155" spans="1:12">
      <c r="A155" t="s">
        <v>924</v>
      </c>
      <c r="B155" t="s">
        <v>925</v>
      </c>
      <c r="C155">
        <v>10.7879877</v>
      </c>
      <c r="D155">
        <v>106.7026631</v>
      </c>
      <c r="E155" t="s">
        <v>1123</v>
      </c>
      <c r="F155" t="s">
        <v>1133</v>
      </c>
      <c r="G155" t="s">
        <v>1134</v>
      </c>
      <c r="H155" t="s">
        <v>1135</v>
      </c>
      <c r="I155" t="s">
        <v>1252</v>
      </c>
      <c r="J155" t="s">
        <v>1271</v>
      </c>
      <c r="K155" t="s">
        <v>1138</v>
      </c>
      <c r="L155" t="s">
        <v>1272</v>
      </c>
    </row>
    <row r="156" spans="1:12">
      <c r="A156" t="s">
        <v>928</v>
      </c>
      <c r="B156" t="s">
        <v>929</v>
      </c>
      <c r="C156">
        <v>10.7924606</v>
      </c>
      <c r="D156">
        <v>106.69139269999999</v>
      </c>
      <c r="E156" t="s">
        <v>1123</v>
      </c>
      <c r="F156" t="s">
        <v>1133</v>
      </c>
      <c r="G156" t="s">
        <v>1134</v>
      </c>
      <c r="H156" t="s">
        <v>1135</v>
      </c>
      <c r="I156" t="s">
        <v>1250</v>
      </c>
      <c r="J156" t="s">
        <v>1277</v>
      </c>
      <c r="K156" t="s">
        <v>1138</v>
      </c>
      <c r="L156" t="s">
        <v>1272</v>
      </c>
    </row>
    <row r="157" spans="1:12">
      <c r="A157" t="s">
        <v>933</v>
      </c>
      <c r="B157" t="s">
        <v>934</v>
      </c>
      <c r="C157">
        <v>10.791056599999999</v>
      </c>
      <c r="D157">
        <v>106.6937269</v>
      </c>
      <c r="E157" t="s">
        <v>1125</v>
      </c>
      <c r="F157" t="s">
        <v>1138</v>
      </c>
      <c r="G157" t="s">
        <v>1139</v>
      </c>
      <c r="H157" t="s">
        <v>1135</v>
      </c>
      <c r="I157" t="s">
        <v>1260</v>
      </c>
      <c r="J157" t="s">
        <v>1280</v>
      </c>
      <c r="K157" t="s">
        <v>1138</v>
      </c>
      <c r="L157" t="s">
        <v>1272</v>
      </c>
    </row>
    <row r="158" spans="1:12">
      <c r="A158" t="s">
        <v>937</v>
      </c>
      <c r="B158" t="s">
        <v>938</v>
      </c>
      <c r="C158">
        <v>10.786090700000001</v>
      </c>
      <c r="D158">
        <v>106.6990476</v>
      </c>
      <c r="E158" t="s">
        <v>1123</v>
      </c>
      <c r="F158" t="s">
        <v>1133</v>
      </c>
      <c r="G158" t="s">
        <v>1134</v>
      </c>
      <c r="H158" t="s">
        <v>1135</v>
      </c>
      <c r="I158" t="s">
        <v>1253</v>
      </c>
      <c r="J158" t="s">
        <v>1273</v>
      </c>
      <c r="K158" t="s">
        <v>1138</v>
      </c>
      <c r="L158" t="s">
        <v>1272</v>
      </c>
    </row>
    <row r="159" spans="1:12">
      <c r="A159" t="s">
        <v>941</v>
      </c>
      <c r="B159" t="s">
        <v>942</v>
      </c>
      <c r="C159">
        <v>10.7876178</v>
      </c>
      <c r="D159">
        <v>106.702848</v>
      </c>
      <c r="E159" t="s">
        <v>1123</v>
      </c>
      <c r="F159" t="s">
        <v>1133</v>
      </c>
      <c r="G159" t="s">
        <v>1134</v>
      </c>
      <c r="H159" t="s">
        <v>1135</v>
      </c>
      <c r="I159" t="s">
        <v>1252</v>
      </c>
      <c r="J159" t="s">
        <v>1271</v>
      </c>
      <c r="K159" t="s">
        <v>1138</v>
      </c>
      <c r="L159" t="s">
        <v>1272</v>
      </c>
    </row>
    <row r="160" spans="1:12">
      <c r="A160" t="s">
        <v>946</v>
      </c>
      <c r="B160" t="s">
        <v>947</v>
      </c>
      <c r="C160">
        <v>10.7849579</v>
      </c>
      <c r="D160">
        <v>106.6989365</v>
      </c>
      <c r="E160" t="s">
        <v>1123</v>
      </c>
      <c r="F160" t="s">
        <v>1133</v>
      </c>
      <c r="G160" t="s">
        <v>1134</v>
      </c>
      <c r="H160" t="s">
        <v>1135</v>
      </c>
      <c r="I160" t="s">
        <v>1253</v>
      </c>
      <c r="J160" t="s">
        <v>1273</v>
      </c>
      <c r="K160" t="s">
        <v>1138</v>
      </c>
      <c r="L160" t="s">
        <v>1272</v>
      </c>
    </row>
    <row r="161" spans="1:12">
      <c r="A161" t="s">
        <v>950</v>
      </c>
      <c r="B161" t="s">
        <v>951</v>
      </c>
      <c r="C161">
        <v>10.790244</v>
      </c>
      <c r="D161">
        <v>106.7154314</v>
      </c>
      <c r="E161" t="s">
        <v>1124</v>
      </c>
      <c r="F161" t="s">
        <v>1133</v>
      </c>
      <c r="G161" t="s">
        <v>1622</v>
      </c>
      <c r="H161" t="s">
        <v>1135</v>
      </c>
      <c r="I161" t="s">
        <v>1259</v>
      </c>
      <c r="J161" t="s">
        <v>1291</v>
      </c>
      <c r="K161" t="s">
        <v>1133</v>
      </c>
      <c r="L161" t="s">
        <v>1623</v>
      </c>
    </row>
    <row r="162" spans="1:12">
      <c r="A162" t="s">
        <v>954</v>
      </c>
      <c r="B162" t="s">
        <v>955</v>
      </c>
      <c r="C162">
        <v>10.7943889</v>
      </c>
      <c r="D162">
        <v>106.71620369999999</v>
      </c>
      <c r="E162" t="s">
        <v>1124</v>
      </c>
      <c r="F162" t="s">
        <v>1133</v>
      </c>
      <c r="G162" t="s">
        <v>1622</v>
      </c>
      <c r="H162" t="s">
        <v>1135</v>
      </c>
      <c r="I162" t="s">
        <v>1259</v>
      </c>
      <c r="J162" t="s">
        <v>1291</v>
      </c>
      <c r="K162" t="s">
        <v>1133</v>
      </c>
      <c r="L162" t="s">
        <v>1623</v>
      </c>
    </row>
    <row r="163" spans="1:12">
      <c r="A163" t="s">
        <v>960</v>
      </c>
      <c r="B163" t="s">
        <v>961</v>
      </c>
      <c r="C163">
        <v>10.790016100000001</v>
      </c>
      <c r="D163">
        <v>106.71200399999999</v>
      </c>
      <c r="E163" t="s">
        <v>1124</v>
      </c>
      <c r="F163" t="s">
        <v>1133</v>
      </c>
      <c r="G163" t="s">
        <v>1272</v>
      </c>
      <c r="H163" t="s">
        <v>1135</v>
      </c>
      <c r="I163" t="s">
        <v>1257</v>
      </c>
      <c r="J163" t="s">
        <v>1279</v>
      </c>
      <c r="K163" t="s">
        <v>1138</v>
      </c>
      <c r="L163" t="s">
        <v>1646</v>
      </c>
    </row>
    <row r="164" spans="1:12">
      <c r="A164" t="s">
        <v>965</v>
      </c>
      <c r="B164" t="s">
        <v>966</v>
      </c>
      <c r="C164">
        <v>10.7939259</v>
      </c>
      <c r="D164">
        <v>106.70941740000001</v>
      </c>
      <c r="E164" t="s">
        <v>1124</v>
      </c>
      <c r="F164" t="s">
        <v>1133</v>
      </c>
      <c r="G164" t="s">
        <v>1622</v>
      </c>
      <c r="H164" t="s">
        <v>1135</v>
      </c>
      <c r="I164" t="s">
        <v>1257</v>
      </c>
      <c r="J164" t="s">
        <v>1279</v>
      </c>
      <c r="K164" t="s">
        <v>1133</v>
      </c>
      <c r="L164" t="s">
        <v>1623</v>
      </c>
    </row>
    <row r="165" spans="1:12">
      <c r="A165" t="s">
        <v>974</v>
      </c>
      <c r="B165" t="s">
        <v>975</v>
      </c>
      <c r="C165">
        <v>10.7928043</v>
      </c>
      <c r="D165">
        <v>106.71168729999999</v>
      </c>
      <c r="E165" t="s">
        <v>1124</v>
      </c>
      <c r="F165" t="s">
        <v>1133</v>
      </c>
      <c r="G165" t="s">
        <v>1272</v>
      </c>
      <c r="H165" t="s">
        <v>1135</v>
      </c>
      <c r="I165" t="s">
        <v>1257</v>
      </c>
      <c r="J165" t="s">
        <v>1279</v>
      </c>
      <c r="K165" t="s">
        <v>1138</v>
      </c>
      <c r="L165" t="s">
        <v>1646</v>
      </c>
    </row>
    <row r="166" spans="1:12">
      <c r="A166" t="s">
        <v>979</v>
      </c>
      <c r="B166" t="s">
        <v>980</v>
      </c>
      <c r="C166">
        <v>10.7918298</v>
      </c>
      <c r="D166">
        <v>106.70997699999999</v>
      </c>
      <c r="E166" t="s">
        <v>1124</v>
      </c>
      <c r="F166" t="s">
        <v>1133</v>
      </c>
      <c r="G166" t="s">
        <v>1272</v>
      </c>
      <c r="H166" t="s">
        <v>1135</v>
      </c>
      <c r="I166" t="s">
        <v>1257</v>
      </c>
      <c r="J166" t="s">
        <v>1279</v>
      </c>
      <c r="K166" t="s">
        <v>1138</v>
      </c>
      <c r="L166" t="s">
        <v>1646</v>
      </c>
    </row>
    <row r="167" spans="1:12">
      <c r="A167" t="s">
        <v>989</v>
      </c>
      <c r="B167" t="s">
        <v>990</v>
      </c>
      <c r="C167">
        <v>10.7972109</v>
      </c>
      <c r="D167">
        <v>106.7056765</v>
      </c>
      <c r="E167" t="s">
        <v>1124</v>
      </c>
      <c r="F167" t="s">
        <v>1138</v>
      </c>
      <c r="G167" t="s">
        <v>1658</v>
      </c>
      <c r="H167" t="s">
        <v>1135</v>
      </c>
      <c r="I167" t="s">
        <v>1624</v>
      </c>
      <c r="J167" t="s">
        <v>1625</v>
      </c>
      <c r="K167" t="s">
        <v>1138</v>
      </c>
      <c r="L167" t="s">
        <v>1659</v>
      </c>
    </row>
    <row r="168" spans="1:12">
      <c r="A168" t="s">
        <v>993</v>
      </c>
      <c r="B168" t="s">
        <v>994</v>
      </c>
      <c r="C168">
        <v>10.795128699999999</v>
      </c>
      <c r="D168">
        <v>106.7210912</v>
      </c>
      <c r="E168" t="s">
        <v>1124</v>
      </c>
      <c r="F168" t="s">
        <v>1133</v>
      </c>
      <c r="G168" t="s">
        <v>1136</v>
      </c>
      <c r="H168" t="s">
        <v>1135</v>
      </c>
      <c r="I168" t="s">
        <v>1259</v>
      </c>
      <c r="J168" t="s">
        <v>1291</v>
      </c>
      <c r="K168" t="s">
        <v>1133</v>
      </c>
      <c r="L168" t="s">
        <v>1307</v>
      </c>
    </row>
    <row r="169" spans="1:12">
      <c r="A169" t="s">
        <v>998</v>
      </c>
      <c r="B169" t="s">
        <v>999</v>
      </c>
      <c r="C169">
        <v>10.789511299999999</v>
      </c>
      <c r="D169">
        <v>106.7081421</v>
      </c>
      <c r="E169" t="s">
        <v>1124</v>
      </c>
      <c r="F169" t="s">
        <v>1133</v>
      </c>
      <c r="G169" t="s">
        <v>1272</v>
      </c>
      <c r="H169" t="s">
        <v>1135</v>
      </c>
      <c r="I169" t="s">
        <v>1257</v>
      </c>
      <c r="J169" t="s">
        <v>1279</v>
      </c>
      <c r="K169" t="s">
        <v>1138</v>
      </c>
      <c r="L169" t="s">
        <v>1646</v>
      </c>
    </row>
    <row r="170" spans="1:12">
      <c r="A170" t="s">
        <v>1004</v>
      </c>
      <c r="B170" t="s">
        <v>1005</v>
      </c>
      <c r="C170">
        <v>10.790663199999999</v>
      </c>
      <c r="D170">
        <v>106.7105803</v>
      </c>
      <c r="E170" t="s">
        <v>1124</v>
      </c>
      <c r="F170" t="s">
        <v>1133</v>
      </c>
      <c r="G170" t="s">
        <v>1272</v>
      </c>
      <c r="H170" t="s">
        <v>1135</v>
      </c>
      <c r="I170" t="s">
        <v>1257</v>
      </c>
      <c r="J170" t="s">
        <v>1279</v>
      </c>
      <c r="K170" t="s">
        <v>1138</v>
      </c>
      <c r="L170" t="s">
        <v>1646</v>
      </c>
    </row>
    <row r="171" spans="1:12">
      <c r="A171" t="s">
        <v>1335</v>
      </c>
      <c r="B171" t="s">
        <v>1336</v>
      </c>
      <c r="C171">
        <v>10.7773167</v>
      </c>
      <c r="D171">
        <v>106.6977562</v>
      </c>
      <c r="E171" t="s">
        <v>1123</v>
      </c>
      <c r="F171" t="s">
        <v>1133</v>
      </c>
      <c r="G171" t="s">
        <v>1660</v>
      </c>
      <c r="H171" t="s">
        <v>1135</v>
      </c>
      <c r="I171" t="s">
        <v>1248</v>
      </c>
      <c r="J171" t="s">
        <v>1276</v>
      </c>
      <c r="K171" t="s">
        <v>1138</v>
      </c>
      <c r="L171" t="s">
        <v>1661</v>
      </c>
    </row>
    <row r="172" spans="1:12">
      <c r="A172" t="s">
        <v>1339</v>
      </c>
      <c r="B172" t="s">
        <v>1340</v>
      </c>
      <c r="C172">
        <v>10.7801253</v>
      </c>
      <c r="D172">
        <v>106.70445789999999</v>
      </c>
      <c r="E172" t="s">
        <v>1123</v>
      </c>
      <c r="F172" t="s">
        <v>1133</v>
      </c>
      <c r="G172" t="s">
        <v>1660</v>
      </c>
      <c r="H172" t="s">
        <v>1135</v>
      </c>
      <c r="I172" t="s">
        <v>1252</v>
      </c>
      <c r="J172" t="s">
        <v>1271</v>
      </c>
      <c r="K172" t="s">
        <v>1133</v>
      </c>
      <c r="L172" t="s">
        <v>1662</v>
      </c>
    </row>
    <row r="173" spans="1:12">
      <c r="A173" t="s">
        <v>1342</v>
      </c>
      <c r="B173" t="s">
        <v>1343</v>
      </c>
      <c r="C173">
        <v>10.778780599999999</v>
      </c>
      <c r="D173">
        <v>106.6981583</v>
      </c>
      <c r="E173" t="s">
        <v>1123</v>
      </c>
      <c r="F173" t="s">
        <v>1133</v>
      </c>
      <c r="G173" t="s">
        <v>1660</v>
      </c>
      <c r="H173" t="s">
        <v>1135</v>
      </c>
      <c r="I173" t="s">
        <v>1252</v>
      </c>
      <c r="J173" t="s">
        <v>1271</v>
      </c>
      <c r="K173" t="s">
        <v>1133</v>
      </c>
      <c r="L173" t="s">
        <v>1663</v>
      </c>
    </row>
    <row r="174" spans="1:12">
      <c r="A174" t="s">
        <v>1346</v>
      </c>
      <c r="B174" t="s">
        <v>1347</v>
      </c>
      <c r="C174">
        <v>10.7771971</v>
      </c>
      <c r="D174">
        <v>106.700107</v>
      </c>
      <c r="E174" t="s">
        <v>1123</v>
      </c>
      <c r="F174" t="s">
        <v>1133</v>
      </c>
      <c r="G174" t="s">
        <v>1660</v>
      </c>
      <c r="H174" t="s">
        <v>1135</v>
      </c>
      <c r="I174" t="s">
        <v>1252</v>
      </c>
      <c r="J174" t="s">
        <v>1271</v>
      </c>
      <c r="K174" t="s">
        <v>1138</v>
      </c>
      <c r="L174" t="s">
        <v>1664</v>
      </c>
    </row>
    <row r="175" spans="1:12">
      <c r="A175" t="s">
        <v>1350</v>
      </c>
      <c r="B175" t="s">
        <v>1351</v>
      </c>
      <c r="C175">
        <v>10.7798149</v>
      </c>
      <c r="D175">
        <v>106.7029294</v>
      </c>
      <c r="E175" t="s">
        <v>1123</v>
      </c>
      <c r="F175" t="s">
        <v>1133</v>
      </c>
      <c r="G175" t="s">
        <v>1660</v>
      </c>
      <c r="H175" t="s">
        <v>1135</v>
      </c>
      <c r="I175" t="s">
        <v>1252</v>
      </c>
      <c r="J175" t="s">
        <v>1271</v>
      </c>
      <c r="K175" t="s">
        <v>1133</v>
      </c>
      <c r="L175" t="s">
        <v>1665</v>
      </c>
    </row>
    <row r="176" spans="1:12">
      <c r="A176" t="s">
        <v>1354</v>
      </c>
      <c r="B176" t="s">
        <v>1355</v>
      </c>
      <c r="C176">
        <v>10.776173099999999</v>
      </c>
      <c r="D176">
        <v>106.7048075</v>
      </c>
      <c r="E176" t="s">
        <v>1123</v>
      </c>
      <c r="F176" t="s">
        <v>1133</v>
      </c>
      <c r="G176" t="s">
        <v>1660</v>
      </c>
      <c r="H176" t="s">
        <v>1135</v>
      </c>
      <c r="I176" t="s">
        <v>1252</v>
      </c>
      <c r="J176" t="s">
        <v>1271</v>
      </c>
      <c r="K176" t="s">
        <v>1138</v>
      </c>
      <c r="L176" t="s">
        <v>1666</v>
      </c>
    </row>
    <row r="177" spans="1:12">
      <c r="A177" t="s">
        <v>1358</v>
      </c>
      <c r="B177" t="s">
        <v>1359</v>
      </c>
      <c r="C177">
        <v>10.7791987</v>
      </c>
      <c r="D177">
        <v>106.7005186</v>
      </c>
      <c r="E177" t="s">
        <v>1123</v>
      </c>
      <c r="F177" t="s">
        <v>1133</v>
      </c>
      <c r="G177" t="s">
        <v>1660</v>
      </c>
      <c r="H177" t="s">
        <v>1135</v>
      </c>
      <c r="I177" t="s">
        <v>1252</v>
      </c>
      <c r="J177" t="s">
        <v>1271</v>
      </c>
      <c r="K177" t="s">
        <v>1133</v>
      </c>
      <c r="L177" t="s">
        <v>1667</v>
      </c>
    </row>
    <row r="178" spans="1:12">
      <c r="A178" t="s">
        <v>1362</v>
      </c>
      <c r="B178" t="s">
        <v>1363</v>
      </c>
      <c r="C178">
        <v>10.7771626</v>
      </c>
      <c r="D178">
        <v>106.70015069999999</v>
      </c>
      <c r="E178" t="s">
        <v>1123</v>
      </c>
      <c r="F178" t="s">
        <v>1133</v>
      </c>
      <c r="G178" t="s">
        <v>1660</v>
      </c>
      <c r="H178" t="s">
        <v>1135</v>
      </c>
      <c r="I178" t="s">
        <v>1252</v>
      </c>
      <c r="J178" t="s">
        <v>1271</v>
      </c>
      <c r="K178" t="s">
        <v>1138</v>
      </c>
      <c r="L178" t="s">
        <v>1664</v>
      </c>
    </row>
    <row r="179" spans="1:12">
      <c r="A179" t="s">
        <v>1366</v>
      </c>
      <c r="B179" t="s">
        <v>1367</v>
      </c>
      <c r="C179">
        <v>10.7785004</v>
      </c>
      <c r="D179">
        <v>106.70377449999999</v>
      </c>
      <c r="E179" t="s">
        <v>1123</v>
      </c>
      <c r="F179" t="s">
        <v>1133</v>
      </c>
      <c r="G179" t="s">
        <v>1660</v>
      </c>
      <c r="H179" t="s">
        <v>1135</v>
      </c>
      <c r="I179" t="s">
        <v>1252</v>
      </c>
      <c r="J179" t="s">
        <v>1271</v>
      </c>
      <c r="K179" t="s">
        <v>1133</v>
      </c>
      <c r="L179" t="s">
        <v>1668</v>
      </c>
    </row>
    <row r="180" spans="1:12">
      <c r="A180" t="s">
        <v>1370</v>
      </c>
      <c r="B180" t="s">
        <v>1371</v>
      </c>
      <c r="C180">
        <v>10.777139999999999</v>
      </c>
      <c r="D180">
        <v>106.70423599999999</v>
      </c>
      <c r="E180" t="s">
        <v>1123</v>
      </c>
      <c r="F180" t="s">
        <v>1133</v>
      </c>
      <c r="G180" t="s">
        <v>1660</v>
      </c>
      <c r="H180" t="s">
        <v>1135</v>
      </c>
      <c r="I180" t="s">
        <v>1252</v>
      </c>
      <c r="J180" t="s">
        <v>1271</v>
      </c>
      <c r="K180" t="s">
        <v>1138</v>
      </c>
      <c r="L180" t="s">
        <v>1666</v>
      </c>
    </row>
    <row r="181" spans="1:12">
      <c r="A181" t="s">
        <v>1374</v>
      </c>
      <c r="B181" t="s">
        <v>1375</v>
      </c>
      <c r="C181">
        <v>10.7787276</v>
      </c>
      <c r="D181">
        <v>106.6980638</v>
      </c>
      <c r="E181" t="s">
        <v>1123</v>
      </c>
      <c r="F181" t="s">
        <v>1133</v>
      </c>
      <c r="G181" t="s">
        <v>1660</v>
      </c>
      <c r="H181" t="s">
        <v>1135</v>
      </c>
      <c r="I181" t="s">
        <v>1252</v>
      </c>
      <c r="J181" t="s">
        <v>1271</v>
      </c>
      <c r="K181" t="s">
        <v>1133</v>
      </c>
      <c r="L181" t="s">
        <v>1663</v>
      </c>
    </row>
    <row r="182" spans="1:12">
      <c r="A182" t="s">
        <v>1378</v>
      </c>
      <c r="B182" t="s">
        <v>1379</v>
      </c>
      <c r="C182">
        <v>10.7771121</v>
      </c>
      <c r="D182">
        <v>106.70397490000001</v>
      </c>
      <c r="E182" t="s">
        <v>1123</v>
      </c>
      <c r="F182" t="s">
        <v>1133</v>
      </c>
      <c r="G182" t="s">
        <v>1660</v>
      </c>
      <c r="H182" t="s">
        <v>1135</v>
      </c>
      <c r="I182" t="s">
        <v>1252</v>
      </c>
      <c r="J182" t="s">
        <v>1271</v>
      </c>
      <c r="K182" t="s">
        <v>1138</v>
      </c>
      <c r="L182" t="s">
        <v>1666</v>
      </c>
    </row>
    <row r="183" spans="1:12">
      <c r="A183" t="s">
        <v>1382</v>
      </c>
      <c r="B183" t="s">
        <v>51</v>
      </c>
      <c r="C183">
        <v>10.784419</v>
      </c>
      <c r="D183">
        <v>106.697799</v>
      </c>
      <c r="E183" t="s">
        <v>1123</v>
      </c>
      <c r="F183" t="s">
        <v>1133</v>
      </c>
      <c r="G183" t="s">
        <v>1660</v>
      </c>
      <c r="H183" t="s">
        <v>1135</v>
      </c>
      <c r="I183" t="s">
        <v>1253</v>
      </c>
      <c r="J183" t="s">
        <v>1273</v>
      </c>
      <c r="K183" t="s">
        <v>1133</v>
      </c>
      <c r="L183" t="s">
        <v>1669</v>
      </c>
    </row>
    <row r="184" spans="1:12">
      <c r="A184" t="s">
        <v>1384</v>
      </c>
      <c r="B184" t="s">
        <v>1385</v>
      </c>
      <c r="C184">
        <v>10.7778086</v>
      </c>
      <c r="D184">
        <v>106.7046515</v>
      </c>
      <c r="E184" t="s">
        <v>1123</v>
      </c>
      <c r="F184" t="s">
        <v>1133</v>
      </c>
      <c r="G184" t="s">
        <v>1660</v>
      </c>
      <c r="H184" t="s">
        <v>1135</v>
      </c>
      <c r="I184" t="s">
        <v>1252</v>
      </c>
      <c r="J184" t="s">
        <v>1271</v>
      </c>
      <c r="K184" t="s">
        <v>1138</v>
      </c>
      <c r="L184" t="s">
        <v>1666</v>
      </c>
    </row>
    <row r="185" spans="1:12">
      <c r="A185" t="s">
        <v>1389</v>
      </c>
      <c r="B185" t="s">
        <v>1390</v>
      </c>
      <c r="C185">
        <v>10.778228</v>
      </c>
      <c r="D185">
        <v>106.6990193</v>
      </c>
      <c r="E185" t="s">
        <v>1123</v>
      </c>
      <c r="F185" t="s">
        <v>1133</v>
      </c>
      <c r="G185" t="s">
        <v>1660</v>
      </c>
      <c r="H185" t="s">
        <v>1135</v>
      </c>
      <c r="I185" t="s">
        <v>1248</v>
      </c>
      <c r="J185" t="s">
        <v>1276</v>
      </c>
      <c r="K185" t="s">
        <v>1138</v>
      </c>
      <c r="L185" t="s">
        <v>1670</v>
      </c>
    </row>
    <row r="186" spans="1:12">
      <c r="A186" t="s">
        <v>1393</v>
      </c>
      <c r="B186" t="s">
        <v>1394</v>
      </c>
      <c r="C186">
        <v>10.780241800000001</v>
      </c>
      <c r="D186">
        <v>106.7046589</v>
      </c>
      <c r="E186" t="s">
        <v>1123</v>
      </c>
      <c r="F186" t="s">
        <v>1133</v>
      </c>
      <c r="G186" t="s">
        <v>1660</v>
      </c>
      <c r="H186" t="s">
        <v>1135</v>
      </c>
      <c r="I186" t="s">
        <v>1252</v>
      </c>
      <c r="J186" t="s">
        <v>1271</v>
      </c>
      <c r="K186" t="s">
        <v>1133</v>
      </c>
      <c r="L186" t="s">
        <v>1662</v>
      </c>
    </row>
    <row r="187" spans="1:12">
      <c r="A187" t="s">
        <v>1397</v>
      </c>
      <c r="B187" t="s">
        <v>1398</v>
      </c>
      <c r="C187">
        <v>10.775725899999999</v>
      </c>
      <c r="D187">
        <v>106.70378100000001</v>
      </c>
      <c r="E187" t="s">
        <v>1123</v>
      </c>
      <c r="F187" t="s">
        <v>1133</v>
      </c>
      <c r="G187" t="s">
        <v>1660</v>
      </c>
      <c r="H187" t="s">
        <v>1135</v>
      </c>
      <c r="I187" t="s">
        <v>1252</v>
      </c>
      <c r="J187" t="s">
        <v>1271</v>
      </c>
      <c r="K187" t="s">
        <v>1133</v>
      </c>
      <c r="L187" t="s">
        <v>1671</v>
      </c>
    </row>
    <row r="188" spans="1:12">
      <c r="A188" t="s">
        <v>1401</v>
      </c>
      <c r="B188" t="s">
        <v>1402</v>
      </c>
      <c r="C188">
        <v>10.7785192</v>
      </c>
      <c r="D188">
        <v>106.6981803</v>
      </c>
      <c r="E188" t="s">
        <v>1123</v>
      </c>
      <c r="F188" t="s">
        <v>1133</v>
      </c>
      <c r="G188" t="s">
        <v>1660</v>
      </c>
      <c r="H188" t="s">
        <v>1135</v>
      </c>
      <c r="I188" t="s">
        <v>1252</v>
      </c>
      <c r="J188" t="s">
        <v>1271</v>
      </c>
      <c r="K188" t="s">
        <v>1138</v>
      </c>
      <c r="L188" t="s">
        <v>1672</v>
      </c>
    </row>
    <row r="189" spans="1:12">
      <c r="A189" t="s">
        <v>1405</v>
      </c>
      <c r="B189" t="s">
        <v>1406</v>
      </c>
      <c r="C189">
        <v>10.776731</v>
      </c>
      <c r="D189">
        <v>106.7047843</v>
      </c>
      <c r="E189" t="s">
        <v>1123</v>
      </c>
      <c r="F189" t="s">
        <v>1133</v>
      </c>
      <c r="G189" t="s">
        <v>1660</v>
      </c>
      <c r="H189" t="s">
        <v>1135</v>
      </c>
      <c r="I189" t="s">
        <v>1252</v>
      </c>
      <c r="J189" t="s">
        <v>1271</v>
      </c>
      <c r="K189" t="s">
        <v>1138</v>
      </c>
      <c r="L189" t="s">
        <v>1666</v>
      </c>
    </row>
    <row r="190" spans="1:12">
      <c r="A190" t="s">
        <v>1409</v>
      </c>
      <c r="B190" t="s">
        <v>1410</v>
      </c>
      <c r="C190">
        <v>10.776560099999999</v>
      </c>
      <c r="D190">
        <v>106.7049095</v>
      </c>
      <c r="E190" t="s">
        <v>1123</v>
      </c>
      <c r="F190" t="s">
        <v>1133</v>
      </c>
      <c r="G190" t="s">
        <v>1660</v>
      </c>
      <c r="H190" t="s">
        <v>1135</v>
      </c>
      <c r="I190" t="s">
        <v>1252</v>
      </c>
      <c r="J190" t="s">
        <v>1271</v>
      </c>
      <c r="K190" t="s">
        <v>1133</v>
      </c>
      <c r="L190" t="s">
        <v>1673</v>
      </c>
    </row>
    <row r="191" spans="1:12">
      <c r="A191" t="s">
        <v>1413</v>
      </c>
      <c r="B191" t="s">
        <v>1414</v>
      </c>
      <c r="C191">
        <v>10.777253099999999</v>
      </c>
      <c r="D191">
        <v>106.7002681</v>
      </c>
      <c r="E191" t="s">
        <v>1123</v>
      </c>
      <c r="F191" t="s">
        <v>1133</v>
      </c>
      <c r="G191" t="s">
        <v>1660</v>
      </c>
      <c r="H191" t="s">
        <v>1135</v>
      </c>
      <c r="I191" t="s">
        <v>1252</v>
      </c>
      <c r="J191" t="s">
        <v>1271</v>
      </c>
      <c r="K191" t="s">
        <v>1138</v>
      </c>
      <c r="L191" t="s">
        <v>1664</v>
      </c>
    </row>
    <row r="192" spans="1:12">
      <c r="A192" t="s">
        <v>1417</v>
      </c>
      <c r="B192" t="s">
        <v>1418</v>
      </c>
      <c r="C192">
        <v>10.779879899999999</v>
      </c>
      <c r="D192">
        <v>106.70295160000001</v>
      </c>
      <c r="E192" t="s">
        <v>1123</v>
      </c>
      <c r="F192" t="s">
        <v>1133</v>
      </c>
      <c r="G192" t="s">
        <v>1660</v>
      </c>
      <c r="H192" t="s">
        <v>1135</v>
      </c>
      <c r="I192" t="s">
        <v>1252</v>
      </c>
      <c r="J192" t="s">
        <v>1271</v>
      </c>
      <c r="K192" t="s">
        <v>1138</v>
      </c>
      <c r="L192" t="s">
        <v>1666</v>
      </c>
    </row>
    <row r="193" spans="1:12">
      <c r="A193" t="s">
        <v>1421</v>
      </c>
      <c r="B193" t="s">
        <v>1422</v>
      </c>
      <c r="C193">
        <v>10.7757948</v>
      </c>
      <c r="D193">
        <v>106.7049791</v>
      </c>
      <c r="E193" t="s">
        <v>1123</v>
      </c>
      <c r="F193" t="s">
        <v>1133</v>
      </c>
      <c r="G193" t="s">
        <v>1660</v>
      </c>
      <c r="H193" t="s">
        <v>1135</v>
      </c>
      <c r="I193" t="s">
        <v>1252</v>
      </c>
      <c r="J193" t="s">
        <v>1271</v>
      </c>
      <c r="K193" t="s">
        <v>1138</v>
      </c>
      <c r="L193" t="s">
        <v>1666</v>
      </c>
    </row>
    <row r="194" spans="1:12">
      <c r="A194" t="s">
        <v>1425</v>
      </c>
      <c r="B194" t="s">
        <v>1426</v>
      </c>
      <c r="C194">
        <v>10.777335799999999</v>
      </c>
      <c r="D194">
        <v>106.6999711</v>
      </c>
      <c r="E194" t="s">
        <v>1123</v>
      </c>
      <c r="F194" t="s">
        <v>1133</v>
      </c>
      <c r="G194" t="s">
        <v>1660</v>
      </c>
      <c r="H194" t="s">
        <v>1135</v>
      </c>
      <c r="I194" t="s">
        <v>1252</v>
      </c>
      <c r="J194" t="s">
        <v>1271</v>
      </c>
      <c r="K194" t="s">
        <v>1138</v>
      </c>
      <c r="L194" t="s">
        <v>1672</v>
      </c>
    </row>
    <row r="195" spans="1:12">
      <c r="A195" t="s">
        <v>1429</v>
      </c>
      <c r="B195" t="s">
        <v>1430</v>
      </c>
      <c r="C195">
        <v>10.779872900000001</v>
      </c>
      <c r="D195">
        <v>106.70419769999999</v>
      </c>
      <c r="E195" t="s">
        <v>1123</v>
      </c>
      <c r="F195" t="s">
        <v>1133</v>
      </c>
      <c r="G195" t="s">
        <v>1660</v>
      </c>
      <c r="H195" t="s">
        <v>1135</v>
      </c>
      <c r="I195" t="s">
        <v>1252</v>
      </c>
      <c r="J195" t="s">
        <v>1271</v>
      </c>
      <c r="K195" t="s">
        <v>1138</v>
      </c>
      <c r="L195" t="s">
        <v>1666</v>
      </c>
    </row>
    <row r="196" spans="1:12">
      <c r="A196" t="s">
        <v>1433</v>
      </c>
      <c r="B196" t="s">
        <v>1434</v>
      </c>
      <c r="C196">
        <v>10.778821000000001</v>
      </c>
      <c r="D196">
        <v>106.704387</v>
      </c>
      <c r="E196" t="s">
        <v>1123</v>
      </c>
      <c r="F196" t="s">
        <v>1133</v>
      </c>
      <c r="G196" t="s">
        <v>1660</v>
      </c>
      <c r="H196" t="s">
        <v>1135</v>
      </c>
      <c r="I196" t="s">
        <v>1252</v>
      </c>
      <c r="J196" t="s">
        <v>1271</v>
      </c>
      <c r="K196" t="s">
        <v>1133</v>
      </c>
      <c r="L196" t="s">
        <v>1674</v>
      </c>
    </row>
    <row r="197" spans="1:12">
      <c r="A197" t="s">
        <v>1437</v>
      </c>
      <c r="B197" t="s">
        <v>1438</v>
      </c>
      <c r="C197">
        <v>10.779974599999999</v>
      </c>
      <c r="D197">
        <v>106.7034214</v>
      </c>
      <c r="E197" t="s">
        <v>1123</v>
      </c>
      <c r="F197" t="s">
        <v>1133</v>
      </c>
      <c r="G197" t="s">
        <v>1660</v>
      </c>
      <c r="H197" t="s">
        <v>1135</v>
      </c>
      <c r="I197" t="s">
        <v>1252</v>
      </c>
      <c r="J197" t="s">
        <v>1271</v>
      </c>
      <c r="K197" t="s">
        <v>1138</v>
      </c>
      <c r="L197" t="s">
        <v>1666</v>
      </c>
    </row>
    <row r="198" spans="1:12">
      <c r="A198" t="s">
        <v>1441</v>
      </c>
      <c r="B198" t="s">
        <v>1442</v>
      </c>
      <c r="C198">
        <v>10.7798313</v>
      </c>
      <c r="D198">
        <v>106.7043948</v>
      </c>
      <c r="E198" t="s">
        <v>1123</v>
      </c>
      <c r="F198" t="s">
        <v>1133</v>
      </c>
      <c r="G198" t="s">
        <v>1660</v>
      </c>
      <c r="H198" t="s">
        <v>1135</v>
      </c>
      <c r="I198" t="s">
        <v>1252</v>
      </c>
      <c r="J198" t="s">
        <v>1271</v>
      </c>
      <c r="K198" t="s">
        <v>1133</v>
      </c>
      <c r="L198" t="s">
        <v>1662</v>
      </c>
    </row>
    <row r="199" spans="1:12">
      <c r="A199" t="s">
        <v>1444</v>
      </c>
      <c r="B199" t="s">
        <v>1445</v>
      </c>
      <c r="C199">
        <v>10.77901</v>
      </c>
      <c r="D199">
        <v>106.704562</v>
      </c>
      <c r="E199" t="s">
        <v>1123</v>
      </c>
      <c r="F199" t="s">
        <v>1133</v>
      </c>
      <c r="G199" t="s">
        <v>1660</v>
      </c>
      <c r="H199" t="s">
        <v>1135</v>
      </c>
      <c r="I199" t="s">
        <v>1252</v>
      </c>
      <c r="J199" t="s">
        <v>1271</v>
      </c>
      <c r="K199" t="s">
        <v>1138</v>
      </c>
      <c r="L199" t="s">
        <v>1666</v>
      </c>
    </row>
    <row r="200" spans="1:12">
      <c r="A200" t="s">
        <v>1448</v>
      </c>
      <c r="B200" t="s">
        <v>1449</v>
      </c>
      <c r="C200">
        <v>10.7787636</v>
      </c>
      <c r="D200">
        <v>106.7027829</v>
      </c>
      <c r="E200" t="s">
        <v>1123</v>
      </c>
      <c r="F200" t="s">
        <v>1133</v>
      </c>
      <c r="G200" t="s">
        <v>1660</v>
      </c>
      <c r="H200" t="s">
        <v>1135</v>
      </c>
      <c r="I200" t="s">
        <v>1252</v>
      </c>
      <c r="J200" t="s">
        <v>1271</v>
      </c>
      <c r="K200" t="s">
        <v>1138</v>
      </c>
      <c r="L200" t="s">
        <v>1666</v>
      </c>
    </row>
    <row r="201" spans="1:12">
      <c r="A201" t="s">
        <v>1452</v>
      </c>
      <c r="B201" t="s">
        <v>1453</v>
      </c>
      <c r="C201">
        <v>10.7782614</v>
      </c>
      <c r="D201">
        <v>106.6984487</v>
      </c>
      <c r="E201" t="s">
        <v>1123</v>
      </c>
      <c r="F201" t="s">
        <v>1133</v>
      </c>
      <c r="G201" t="s">
        <v>1660</v>
      </c>
      <c r="H201" t="s">
        <v>1135</v>
      </c>
      <c r="I201" t="s">
        <v>1252</v>
      </c>
      <c r="J201" t="s">
        <v>1271</v>
      </c>
      <c r="K201" t="s">
        <v>1138</v>
      </c>
      <c r="L201" t="s">
        <v>1672</v>
      </c>
    </row>
    <row r="202" spans="1:12">
      <c r="A202" t="s">
        <v>1456</v>
      </c>
      <c r="B202" t="s">
        <v>1457</v>
      </c>
      <c r="C202">
        <v>10.7799751</v>
      </c>
      <c r="D202">
        <v>106.7043106</v>
      </c>
      <c r="E202" t="s">
        <v>1123</v>
      </c>
      <c r="F202" t="s">
        <v>1133</v>
      </c>
      <c r="G202" t="s">
        <v>1660</v>
      </c>
      <c r="H202" t="s">
        <v>1135</v>
      </c>
      <c r="I202" t="s">
        <v>1252</v>
      </c>
      <c r="J202" t="s">
        <v>1271</v>
      </c>
      <c r="K202" t="s">
        <v>1138</v>
      </c>
      <c r="L202" t="s">
        <v>1666</v>
      </c>
    </row>
    <row r="203" spans="1:12">
      <c r="A203" t="s">
        <v>1460</v>
      </c>
      <c r="B203" t="s">
        <v>1461</v>
      </c>
      <c r="C203">
        <v>10.7799122</v>
      </c>
      <c r="D203">
        <v>106.7045026</v>
      </c>
      <c r="E203" t="s">
        <v>1123</v>
      </c>
      <c r="F203" t="s">
        <v>1133</v>
      </c>
      <c r="G203" t="s">
        <v>1660</v>
      </c>
      <c r="H203" t="s">
        <v>1135</v>
      </c>
      <c r="I203" t="s">
        <v>1252</v>
      </c>
      <c r="J203" t="s">
        <v>1271</v>
      </c>
      <c r="K203" t="s">
        <v>1138</v>
      </c>
      <c r="L203" t="s">
        <v>1666</v>
      </c>
    </row>
    <row r="204" spans="1:12">
      <c r="A204" t="s">
        <v>1463</v>
      </c>
      <c r="B204" t="s">
        <v>1464</v>
      </c>
      <c r="C204">
        <v>10.7763495</v>
      </c>
      <c r="D204">
        <v>106.7023643</v>
      </c>
      <c r="E204" t="s">
        <v>1123</v>
      </c>
      <c r="F204" t="s">
        <v>1133</v>
      </c>
      <c r="G204" t="s">
        <v>1660</v>
      </c>
      <c r="H204" t="s">
        <v>1135</v>
      </c>
      <c r="I204" t="s">
        <v>1252</v>
      </c>
      <c r="J204" t="s">
        <v>1271</v>
      </c>
      <c r="K204" t="s">
        <v>1133</v>
      </c>
      <c r="L204" t="s">
        <v>1675</v>
      </c>
    </row>
    <row r="205" spans="1:12">
      <c r="A205" t="s">
        <v>1467</v>
      </c>
      <c r="B205" t="s">
        <v>1468</v>
      </c>
      <c r="C205">
        <v>10.7800639</v>
      </c>
      <c r="D205">
        <v>106.6994983</v>
      </c>
      <c r="E205" t="s">
        <v>1123</v>
      </c>
      <c r="F205" t="s">
        <v>1133</v>
      </c>
      <c r="G205" t="s">
        <v>1660</v>
      </c>
      <c r="H205" t="s">
        <v>1135</v>
      </c>
      <c r="I205" t="s">
        <v>1252</v>
      </c>
      <c r="J205" t="s">
        <v>1271</v>
      </c>
      <c r="K205" t="s">
        <v>1133</v>
      </c>
      <c r="L205" t="s">
        <v>1676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DC83-2AE8-4168-9AC8-14011BD99DBE}">
  <dimension ref="A1:O197"/>
  <sheetViews>
    <sheetView topLeftCell="A142" workbookViewId="0">
      <selection activeCell="G160" sqref="G160"/>
    </sheetView>
  </sheetViews>
  <sheetFormatPr defaultRowHeight="15"/>
  <cols>
    <col min="1" max="1" width="81.140625" bestFit="1" customWidth="1"/>
    <col min="2" max="2" width="21.42578125" bestFit="1" customWidth="1"/>
    <col min="3" max="3" width="9" bestFit="1" customWidth="1"/>
    <col min="4" max="4" width="10.85546875" bestFit="1" customWidth="1"/>
    <col min="5" max="5" width="14.42578125" bestFit="1" customWidth="1"/>
    <col min="6" max="6" width="14.28515625" bestFit="1" customWidth="1"/>
    <col min="7" max="7" width="40.140625" bestFit="1" customWidth="1"/>
    <col min="8" max="8" width="28.7109375" bestFit="1" customWidth="1"/>
    <col min="9" max="9" width="21.42578125" bestFit="1" customWidth="1"/>
    <col min="10" max="10" width="47.5703125" bestFit="1" customWidth="1"/>
    <col min="11" max="11" width="42.85546875" bestFit="1" customWidth="1"/>
    <col min="12" max="12" width="54.7109375" bestFit="1" customWidth="1"/>
    <col min="13" max="13" width="11" bestFit="1" customWidth="1"/>
    <col min="14" max="14" width="12.28515625" bestFit="1" customWidth="1"/>
    <col min="15" max="15" width="81.140625" bestFit="1" customWidth="1"/>
    <col min="16" max="16" width="69.7109375" bestFit="1" customWidth="1"/>
    <col min="17" max="17" width="42.85546875" bestFit="1" customWidth="1"/>
    <col min="18" max="18" width="54.7109375" bestFit="1" customWidth="1"/>
    <col min="19" max="19" width="11.42578125" bestFit="1" customWidth="1"/>
    <col min="20" max="20" width="12" bestFit="1" customWidth="1"/>
    <col min="21" max="21" width="81.140625" customWidth="1"/>
  </cols>
  <sheetData>
    <row r="1" spans="1:15">
      <c r="A1" t="s">
        <v>1223</v>
      </c>
      <c r="B1" t="s">
        <v>1224</v>
      </c>
      <c r="C1" t="s">
        <v>1225</v>
      </c>
      <c r="D1" t="s">
        <v>1226</v>
      </c>
      <c r="E1" t="s">
        <v>1227</v>
      </c>
      <c r="F1" t="s">
        <v>1228</v>
      </c>
      <c r="G1" t="s">
        <v>1229</v>
      </c>
      <c r="H1" t="s">
        <v>1230</v>
      </c>
      <c r="I1" t="s">
        <v>1231</v>
      </c>
      <c r="J1" t="s">
        <v>1232</v>
      </c>
      <c r="K1" t="s">
        <v>1233</v>
      </c>
      <c r="L1" t="s">
        <v>1152</v>
      </c>
      <c r="M1" t="s">
        <v>1120</v>
      </c>
      <c r="N1" t="s">
        <v>1121</v>
      </c>
      <c r="O1" t="s">
        <v>1234</v>
      </c>
    </row>
    <row r="2" spans="1:15">
      <c r="A2" t="s">
        <v>20</v>
      </c>
      <c r="B2" t="s">
        <v>1123</v>
      </c>
      <c r="C2">
        <v>4.9000000000000004</v>
      </c>
      <c r="D2">
        <v>664</v>
      </c>
      <c r="E2" t="s">
        <v>1138</v>
      </c>
      <c r="F2" t="s">
        <v>1155</v>
      </c>
      <c r="G2" t="s">
        <v>1181</v>
      </c>
      <c r="H2" t="s">
        <v>1179</v>
      </c>
      <c r="I2" t="s">
        <v>1180</v>
      </c>
      <c r="J2" t="s">
        <v>1195</v>
      </c>
      <c r="K2" t="s">
        <v>1235</v>
      </c>
      <c r="L2" t="s">
        <v>24</v>
      </c>
      <c r="M2">
        <v>10.7810504</v>
      </c>
      <c r="N2">
        <v>106.7061501</v>
      </c>
      <c r="O2" t="s">
        <v>19</v>
      </c>
    </row>
    <row r="3" spans="1:15">
      <c r="A3" t="s">
        <v>33</v>
      </c>
      <c r="B3" t="s">
        <v>1123</v>
      </c>
      <c r="C3">
        <v>4.9000000000000004</v>
      </c>
      <c r="D3">
        <v>621</v>
      </c>
      <c r="E3" t="s">
        <v>1156</v>
      </c>
      <c r="F3" t="s">
        <v>1155</v>
      </c>
      <c r="G3" t="s">
        <v>1178</v>
      </c>
      <c r="H3" t="s">
        <v>1179</v>
      </c>
      <c r="I3" t="s">
        <v>1180</v>
      </c>
      <c r="J3" t="s">
        <v>35</v>
      </c>
      <c r="K3" t="s">
        <v>1235</v>
      </c>
      <c r="L3" t="s">
        <v>42</v>
      </c>
      <c r="M3">
        <v>10.7813151</v>
      </c>
      <c r="N3">
        <v>106.7055893</v>
      </c>
      <c r="O3" t="s">
        <v>32</v>
      </c>
    </row>
    <row r="4" spans="1:15">
      <c r="A4" t="s">
        <v>44</v>
      </c>
      <c r="B4" t="s">
        <v>1123</v>
      </c>
      <c r="C4">
        <v>4.8</v>
      </c>
      <c r="D4">
        <v>393</v>
      </c>
      <c r="E4" t="s">
        <v>1157</v>
      </c>
      <c r="F4" t="s">
        <v>1155</v>
      </c>
      <c r="G4" t="s">
        <v>1181</v>
      </c>
      <c r="H4" t="s">
        <v>1198</v>
      </c>
      <c r="I4" t="s">
        <v>1180</v>
      </c>
      <c r="J4" t="s">
        <v>1202</v>
      </c>
      <c r="K4" t="s">
        <v>1236</v>
      </c>
      <c r="L4" t="s">
        <v>45</v>
      </c>
      <c r="M4">
        <v>10.7851374999999</v>
      </c>
      <c r="N4">
        <v>106.6999919</v>
      </c>
      <c r="O4" t="s">
        <v>43</v>
      </c>
    </row>
    <row r="5" spans="1:15">
      <c r="A5" t="s">
        <v>51</v>
      </c>
      <c r="B5" t="s">
        <v>1123</v>
      </c>
      <c r="C5">
        <v>4.8</v>
      </c>
      <c r="D5">
        <v>2220</v>
      </c>
      <c r="E5" t="s">
        <v>1157</v>
      </c>
      <c r="F5" t="s">
        <v>1155</v>
      </c>
      <c r="G5" t="s">
        <v>1181</v>
      </c>
      <c r="H5" t="s">
        <v>1179</v>
      </c>
      <c r="I5" t="s">
        <v>1180</v>
      </c>
      <c r="J5" t="s">
        <v>23</v>
      </c>
      <c r="K5" t="s">
        <v>1235</v>
      </c>
      <c r="L5" t="s">
        <v>58</v>
      </c>
      <c r="M5">
        <v>10.7733531</v>
      </c>
      <c r="N5">
        <v>106.7038615</v>
      </c>
      <c r="O5" t="s">
        <v>50</v>
      </c>
    </row>
    <row r="6" spans="1:15">
      <c r="A6" t="s">
        <v>51</v>
      </c>
      <c r="B6" t="s">
        <v>1123</v>
      </c>
      <c r="C6">
        <v>4.8</v>
      </c>
      <c r="D6">
        <v>1365</v>
      </c>
      <c r="E6" t="s">
        <v>1157</v>
      </c>
      <c r="F6" t="s">
        <v>1155</v>
      </c>
      <c r="G6" t="s">
        <v>1181</v>
      </c>
      <c r="H6" t="s">
        <v>1179</v>
      </c>
      <c r="I6" t="s">
        <v>1180</v>
      </c>
      <c r="J6" t="s">
        <v>23</v>
      </c>
      <c r="K6" t="s">
        <v>1235</v>
      </c>
      <c r="L6" t="s">
        <v>60</v>
      </c>
      <c r="M6">
        <v>10.7733531</v>
      </c>
      <c r="N6">
        <v>106.7038615</v>
      </c>
      <c r="O6" t="s">
        <v>59</v>
      </c>
    </row>
    <row r="7" spans="1:15">
      <c r="A7" t="s">
        <v>65</v>
      </c>
      <c r="B7" t="s">
        <v>1123</v>
      </c>
      <c r="C7">
        <v>4.9000000000000004</v>
      </c>
      <c r="D7">
        <v>1857</v>
      </c>
      <c r="E7" t="s">
        <v>1138</v>
      </c>
      <c r="F7" t="s">
        <v>1155</v>
      </c>
      <c r="G7" t="s">
        <v>1181</v>
      </c>
      <c r="H7" t="s">
        <v>1179</v>
      </c>
      <c r="I7" t="s">
        <v>1180</v>
      </c>
      <c r="J7" t="s">
        <v>23</v>
      </c>
      <c r="K7" t="s">
        <v>1235</v>
      </c>
      <c r="L7" t="s">
        <v>66</v>
      </c>
      <c r="M7">
        <v>10.774103</v>
      </c>
      <c r="N7">
        <v>106.7041327</v>
      </c>
      <c r="O7" t="s">
        <v>64</v>
      </c>
    </row>
    <row r="8" spans="1:15">
      <c r="A8" t="s">
        <v>72</v>
      </c>
      <c r="B8" t="s">
        <v>1123</v>
      </c>
      <c r="C8">
        <v>4.7</v>
      </c>
      <c r="D8">
        <v>910</v>
      </c>
      <c r="E8" t="s">
        <v>1156</v>
      </c>
      <c r="F8" t="s">
        <v>1155</v>
      </c>
      <c r="G8" t="s">
        <v>1178</v>
      </c>
      <c r="H8" t="s">
        <v>1179</v>
      </c>
      <c r="I8" t="s">
        <v>1180</v>
      </c>
      <c r="J8" t="s">
        <v>1196</v>
      </c>
      <c r="K8" t="s">
        <v>1235</v>
      </c>
      <c r="L8" t="s">
        <v>73</v>
      </c>
      <c r="M8">
        <v>10.7784309999999</v>
      </c>
      <c r="N8">
        <v>106.699046</v>
      </c>
      <c r="O8" t="s">
        <v>71</v>
      </c>
    </row>
    <row r="9" spans="1:15">
      <c r="A9" t="s">
        <v>80</v>
      </c>
      <c r="B9" t="s">
        <v>1123</v>
      </c>
      <c r="C9">
        <v>4.9000000000000004</v>
      </c>
      <c r="D9">
        <v>2355</v>
      </c>
      <c r="E9" t="s">
        <v>1138</v>
      </c>
      <c r="F9" t="s">
        <v>1155</v>
      </c>
      <c r="G9" t="s">
        <v>1178</v>
      </c>
      <c r="H9" t="s">
        <v>1179</v>
      </c>
      <c r="I9" t="s">
        <v>1180</v>
      </c>
      <c r="J9" t="s">
        <v>35</v>
      </c>
      <c r="K9" t="s">
        <v>1235</v>
      </c>
      <c r="L9" t="s">
        <v>84</v>
      </c>
      <c r="M9">
        <v>10.793559</v>
      </c>
      <c r="N9">
        <v>106.686756</v>
      </c>
      <c r="O9" t="s">
        <v>79</v>
      </c>
    </row>
    <row r="10" spans="1:15">
      <c r="A10" t="s">
        <v>86</v>
      </c>
      <c r="B10" t="s">
        <v>1123</v>
      </c>
      <c r="C10">
        <v>4.9000000000000004</v>
      </c>
      <c r="D10">
        <v>1407</v>
      </c>
      <c r="E10" t="s">
        <v>1138</v>
      </c>
      <c r="F10" t="s">
        <v>1155</v>
      </c>
      <c r="G10" t="s">
        <v>1191</v>
      </c>
      <c r="H10" t="s">
        <v>1179</v>
      </c>
      <c r="I10" t="s">
        <v>1135</v>
      </c>
      <c r="J10" t="s">
        <v>1193</v>
      </c>
      <c r="K10" t="s">
        <v>1235</v>
      </c>
      <c r="L10" t="s">
        <v>88</v>
      </c>
      <c r="M10">
        <v>10.7741206</v>
      </c>
      <c r="N10">
        <v>106.6975015</v>
      </c>
      <c r="O10" t="s">
        <v>85</v>
      </c>
    </row>
    <row r="11" spans="1:15">
      <c r="A11" t="s">
        <v>93</v>
      </c>
      <c r="B11" t="s">
        <v>1124</v>
      </c>
      <c r="C11">
        <v>4.7</v>
      </c>
      <c r="D11">
        <v>344</v>
      </c>
      <c r="E11" t="s">
        <v>1138</v>
      </c>
      <c r="F11" t="s">
        <v>1155</v>
      </c>
      <c r="G11" t="s">
        <v>1191</v>
      </c>
      <c r="H11" t="s">
        <v>1179</v>
      </c>
      <c r="I11" t="s">
        <v>1135</v>
      </c>
      <c r="J11" t="s">
        <v>1210</v>
      </c>
      <c r="K11" t="s">
        <v>1237</v>
      </c>
      <c r="L11" t="s">
        <v>99</v>
      </c>
      <c r="M11">
        <v>10.7886858</v>
      </c>
      <c r="N11">
        <v>106.7087982</v>
      </c>
      <c r="O11" t="s">
        <v>92</v>
      </c>
    </row>
    <row r="12" spans="1:15">
      <c r="A12" t="s">
        <v>101</v>
      </c>
      <c r="B12" t="s">
        <v>1124</v>
      </c>
      <c r="C12">
        <v>4.8</v>
      </c>
      <c r="D12">
        <v>333</v>
      </c>
      <c r="E12" t="s">
        <v>1138</v>
      </c>
      <c r="F12" t="s">
        <v>1155</v>
      </c>
      <c r="G12" t="s">
        <v>1178</v>
      </c>
      <c r="H12" t="s">
        <v>1198</v>
      </c>
      <c r="I12" t="s">
        <v>1180</v>
      </c>
      <c r="J12" t="s">
        <v>1203</v>
      </c>
      <c r="K12" t="s">
        <v>1236</v>
      </c>
      <c r="L12" t="s">
        <v>103</v>
      </c>
      <c r="M12">
        <v>10.790118</v>
      </c>
      <c r="N12">
        <v>106.7112413</v>
      </c>
      <c r="O12" t="s">
        <v>100</v>
      </c>
    </row>
    <row r="13" spans="1:15">
      <c r="A13" t="s">
        <v>108</v>
      </c>
      <c r="B13" t="s">
        <v>1123</v>
      </c>
      <c r="C13">
        <v>4.9000000000000004</v>
      </c>
      <c r="D13">
        <v>1025</v>
      </c>
      <c r="E13" t="s">
        <v>1138</v>
      </c>
      <c r="F13" t="s">
        <v>1155</v>
      </c>
      <c r="G13" t="s">
        <v>1181</v>
      </c>
      <c r="H13" t="s">
        <v>1179</v>
      </c>
      <c r="I13" t="s">
        <v>1180</v>
      </c>
      <c r="J13" t="s">
        <v>23</v>
      </c>
      <c r="K13" t="s">
        <v>1235</v>
      </c>
      <c r="L13" t="s">
        <v>109</v>
      </c>
      <c r="M13">
        <v>10.7888740999999</v>
      </c>
      <c r="N13">
        <v>106.6916512</v>
      </c>
      <c r="O13" t="s">
        <v>107</v>
      </c>
    </row>
    <row r="14" spans="1:15">
      <c r="A14" t="s">
        <v>114</v>
      </c>
      <c r="B14" t="s">
        <v>1123</v>
      </c>
      <c r="C14">
        <v>4.8</v>
      </c>
      <c r="D14">
        <v>634</v>
      </c>
      <c r="E14" t="s">
        <v>1157</v>
      </c>
      <c r="F14" t="s">
        <v>1155</v>
      </c>
      <c r="G14" t="s">
        <v>1178</v>
      </c>
      <c r="H14" t="s">
        <v>1179</v>
      </c>
      <c r="I14" t="s">
        <v>1180</v>
      </c>
      <c r="J14" t="s">
        <v>1201</v>
      </c>
      <c r="K14" t="s">
        <v>1235</v>
      </c>
      <c r="L14" t="s">
        <v>115</v>
      </c>
      <c r="M14">
        <v>10.7890301</v>
      </c>
      <c r="N14">
        <v>106.6908913</v>
      </c>
      <c r="O14" t="s">
        <v>113</v>
      </c>
    </row>
    <row r="15" spans="1:15">
      <c r="A15" t="s">
        <v>119</v>
      </c>
      <c r="B15" t="s">
        <v>1125</v>
      </c>
      <c r="C15">
        <v>4.8</v>
      </c>
      <c r="D15">
        <v>314</v>
      </c>
      <c r="E15" t="s">
        <v>1157</v>
      </c>
      <c r="F15" t="s">
        <v>1155</v>
      </c>
      <c r="G15" t="s">
        <v>1191</v>
      </c>
      <c r="H15" t="s">
        <v>1179</v>
      </c>
      <c r="I15" t="s">
        <v>1135</v>
      </c>
      <c r="J15" t="s">
        <v>1215</v>
      </c>
      <c r="K15" t="s">
        <v>1237</v>
      </c>
      <c r="L15" t="s">
        <v>120</v>
      </c>
      <c r="M15">
        <v>10.778611400000001</v>
      </c>
      <c r="N15">
        <v>106.6920676</v>
      </c>
      <c r="O15" t="s">
        <v>118</v>
      </c>
    </row>
    <row r="16" spans="1:15">
      <c r="A16" t="s">
        <v>125</v>
      </c>
      <c r="B16" t="s">
        <v>1123</v>
      </c>
      <c r="C16">
        <v>4.5999999999999996</v>
      </c>
      <c r="D16">
        <v>356</v>
      </c>
      <c r="E16" t="s">
        <v>1142</v>
      </c>
      <c r="F16" t="s">
        <v>1155</v>
      </c>
      <c r="G16" t="s">
        <v>1191</v>
      </c>
      <c r="H16" t="s">
        <v>1179</v>
      </c>
      <c r="I16" t="s">
        <v>1135</v>
      </c>
      <c r="J16" t="s">
        <v>1194</v>
      </c>
      <c r="K16" t="s">
        <v>1235</v>
      </c>
      <c r="L16" t="s">
        <v>132</v>
      </c>
      <c r="M16">
        <v>10.7842945</v>
      </c>
      <c r="N16">
        <v>106.7057539</v>
      </c>
      <c r="O16" t="s">
        <v>124</v>
      </c>
    </row>
    <row r="17" spans="1:15">
      <c r="A17" t="s">
        <v>134</v>
      </c>
      <c r="B17" t="s">
        <v>1123</v>
      </c>
      <c r="C17">
        <v>4.8</v>
      </c>
      <c r="D17">
        <v>626</v>
      </c>
      <c r="E17" t="s">
        <v>1156</v>
      </c>
      <c r="F17" t="s">
        <v>1158</v>
      </c>
      <c r="G17" t="s">
        <v>1187</v>
      </c>
      <c r="H17" t="s">
        <v>1198</v>
      </c>
      <c r="I17" t="s">
        <v>1180</v>
      </c>
      <c r="J17" t="s">
        <v>1202</v>
      </c>
      <c r="K17" t="s">
        <v>1236</v>
      </c>
      <c r="L17" t="s">
        <v>139</v>
      </c>
      <c r="M17">
        <v>10.7863279</v>
      </c>
      <c r="N17">
        <v>106.6946945</v>
      </c>
      <c r="O17" t="s">
        <v>133</v>
      </c>
    </row>
    <row r="18" spans="1:15">
      <c r="A18" t="s">
        <v>141</v>
      </c>
      <c r="B18" t="s">
        <v>1125</v>
      </c>
      <c r="C18">
        <v>4.9000000000000004</v>
      </c>
      <c r="D18">
        <v>420</v>
      </c>
      <c r="E18" t="s">
        <v>1157</v>
      </c>
      <c r="F18" t="s">
        <v>1155</v>
      </c>
      <c r="G18" t="s">
        <v>1191</v>
      </c>
      <c r="H18" t="s">
        <v>1179</v>
      </c>
      <c r="I18" t="s">
        <v>1135</v>
      </c>
      <c r="J18" t="s">
        <v>1209</v>
      </c>
      <c r="K18" t="s">
        <v>1237</v>
      </c>
      <c r="L18" t="s">
        <v>143</v>
      </c>
      <c r="M18">
        <v>10.7797526</v>
      </c>
      <c r="N18">
        <v>106.6855053</v>
      </c>
      <c r="O18" t="s">
        <v>140</v>
      </c>
    </row>
    <row r="19" spans="1:15">
      <c r="A19" t="s">
        <v>147</v>
      </c>
      <c r="B19" t="s">
        <v>1125</v>
      </c>
      <c r="C19">
        <v>4.9000000000000004</v>
      </c>
      <c r="D19">
        <v>3208</v>
      </c>
      <c r="E19" t="s">
        <v>1138</v>
      </c>
      <c r="F19" t="s">
        <v>1155</v>
      </c>
      <c r="G19" t="s">
        <v>1187</v>
      </c>
      <c r="H19" t="s">
        <v>1182</v>
      </c>
      <c r="I19" t="s">
        <v>1180</v>
      </c>
      <c r="J19" t="s">
        <v>1188</v>
      </c>
      <c r="K19" t="s">
        <v>1236</v>
      </c>
      <c r="L19" t="s">
        <v>148</v>
      </c>
      <c r="M19">
        <v>10.7890657</v>
      </c>
      <c r="N19">
        <v>106.6921263</v>
      </c>
      <c r="O19" t="s">
        <v>146</v>
      </c>
    </row>
    <row r="20" spans="1:15">
      <c r="A20" t="s">
        <v>152</v>
      </c>
      <c r="B20" t="s">
        <v>1123</v>
      </c>
      <c r="C20">
        <v>4.7</v>
      </c>
      <c r="D20">
        <v>1452</v>
      </c>
      <c r="E20" t="s">
        <v>1157</v>
      </c>
      <c r="F20" t="s">
        <v>1155</v>
      </c>
      <c r="G20" t="s">
        <v>1181</v>
      </c>
      <c r="H20" t="s">
        <v>1179</v>
      </c>
      <c r="I20" t="s">
        <v>1180</v>
      </c>
      <c r="J20" t="s">
        <v>23</v>
      </c>
      <c r="K20" t="s">
        <v>1235</v>
      </c>
      <c r="L20" t="s">
        <v>156</v>
      </c>
      <c r="M20">
        <v>10.7795135</v>
      </c>
      <c r="N20">
        <v>106.7026522</v>
      </c>
      <c r="O20" t="s">
        <v>151</v>
      </c>
    </row>
    <row r="21" spans="1:15">
      <c r="A21" t="s">
        <v>158</v>
      </c>
      <c r="B21" t="s">
        <v>1123</v>
      </c>
      <c r="C21">
        <v>4.7</v>
      </c>
      <c r="D21">
        <v>507</v>
      </c>
      <c r="E21" t="s">
        <v>1138</v>
      </c>
      <c r="F21" t="s">
        <v>1155</v>
      </c>
      <c r="G21" t="s">
        <v>1181</v>
      </c>
      <c r="H21" t="s">
        <v>1179</v>
      </c>
      <c r="I21" t="s">
        <v>1180</v>
      </c>
      <c r="J21" t="s">
        <v>23</v>
      </c>
      <c r="K21" t="s">
        <v>1235</v>
      </c>
      <c r="L21" t="s">
        <v>162</v>
      </c>
      <c r="M21">
        <v>10.7753458</v>
      </c>
      <c r="N21">
        <v>106.70291810000001</v>
      </c>
      <c r="O21" t="s">
        <v>157</v>
      </c>
    </row>
    <row r="22" spans="1:15">
      <c r="A22" t="s">
        <v>164</v>
      </c>
      <c r="B22" t="s">
        <v>1125</v>
      </c>
      <c r="C22">
        <v>4.5999999999999996</v>
      </c>
      <c r="D22">
        <v>4975</v>
      </c>
      <c r="E22" t="s">
        <v>1157</v>
      </c>
      <c r="F22" t="s">
        <v>1159</v>
      </c>
      <c r="G22" t="s">
        <v>1178</v>
      </c>
      <c r="H22" t="s">
        <v>1179</v>
      </c>
      <c r="I22" t="s">
        <v>1180</v>
      </c>
      <c r="J22" t="s">
        <v>1196</v>
      </c>
      <c r="K22" t="s">
        <v>1237</v>
      </c>
      <c r="L22" t="s">
        <v>169</v>
      </c>
      <c r="M22">
        <v>10.778862800000001</v>
      </c>
      <c r="N22">
        <v>106.6920523</v>
      </c>
      <c r="O22" t="s">
        <v>163</v>
      </c>
    </row>
    <row r="23" spans="1:15">
      <c r="A23" t="s">
        <v>171</v>
      </c>
      <c r="B23" t="s">
        <v>1123</v>
      </c>
      <c r="C23">
        <v>4.9000000000000004</v>
      </c>
      <c r="D23">
        <v>10</v>
      </c>
      <c r="E23" t="s">
        <v>1142</v>
      </c>
      <c r="F23" t="s">
        <v>1157</v>
      </c>
      <c r="G23" t="s">
        <v>1178</v>
      </c>
      <c r="H23" t="s">
        <v>1179</v>
      </c>
      <c r="I23" t="s">
        <v>1180</v>
      </c>
      <c r="J23" t="s">
        <v>35</v>
      </c>
      <c r="K23" t="s">
        <v>1235</v>
      </c>
      <c r="L23" t="s">
        <v>172</v>
      </c>
      <c r="M23">
        <v>10.7862145999999</v>
      </c>
      <c r="N23">
        <v>106.701155099999</v>
      </c>
      <c r="O23" t="s">
        <v>170</v>
      </c>
    </row>
    <row r="24" spans="1:15">
      <c r="A24" t="s">
        <v>177</v>
      </c>
      <c r="B24" t="s">
        <v>1125</v>
      </c>
      <c r="C24">
        <v>4.7</v>
      </c>
      <c r="D24">
        <v>2193</v>
      </c>
      <c r="E24" t="s">
        <v>1156</v>
      </c>
      <c r="F24" t="s">
        <v>1155</v>
      </c>
      <c r="G24" t="s">
        <v>1191</v>
      </c>
      <c r="H24" t="s">
        <v>1198</v>
      </c>
      <c r="I24" t="s">
        <v>1135</v>
      </c>
      <c r="J24" t="s">
        <v>1212</v>
      </c>
      <c r="K24" t="s">
        <v>1238</v>
      </c>
      <c r="L24" t="s">
        <v>180</v>
      </c>
      <c r="M24">
        <v>10.7781582</v>
      </c>
      <c r="N24">
        <v>106.690659999999</v>
      </c>
      <c r="O24" t="s">
        <v>176</v>
      </c>
    </row>
    <row r="25" spans="1:15">
      <c r="A25" t="s">
        <v>182</v>
      </c>
      <c r="B25" t="s">
        <v>1124</v>
      </c>
      <c r="C25">
        <v>4.7</v>
      </c>
      <c r="D25">
        <v>103</v>
      </c>
      <c r="E25" t="s">
        <v>1142</v>
      </c>
      <c r="F25" t="s">
        <v>1157</v>
      </c>
      <c r="G25" t="s">
        <v>1187</v>
      </c>
      <c r="H25" t="s">
        <v>1182</v>
      </c>
      <c r="I25" t="s">
        <v>1180</v>
      </c>
      <c r="J25" t="s">
        <v>1188</v>
      </c>
      <c r="K25" t="s">
        <v>1236</v>
      </c>
      <c r="L25" t="s">
        <v>183</v>
      </c>
      <c r="M25">
        <v>10.7914651</v>
      </c>
      <c r="N25">
        <v>106.70489860000001</v>
      </c>
      <c r="O25" t="s">
        <v>181</v>
      </c>
    </row>
    <row r="26" spans="1:15">
      <c r="A26" t="s">
        <v>189</v>
      </c>
      <c r="B26" t="s">
        <v>1123</v>
      </c>
      <c r="C26">
        <v>4.9000000000000004</v>
      </c>
      <c r="D26">
        <v>611</v>
      </c>
      <c r="E26" t="s">
        <v>1157</v>
      </c>
      <c r="F26" t="s">
        <v>1155</v>
      </c>
      <c r="G26" t="s">
        <v>1181</v>
      </c>
      <c r="H26" t="s">
        <v>1179</v>
      </c>
      <c r="I26" t="s">
        <v>1180</v>
      </c>
      <c r="J26" t="s">
        <v>1184</v>
      </c>
      <c r="K26" t="s">
        <v>1235</v>
      </c>
      <c r="L26" t="s">
        <v>190</v>
      </c>
      <c r="M26">
        <v>10.7721026</v>
      </c>
      <c r="N26">
        <v>106.6941655</v>
      </c>
      <c r="O26" t="s">
        <v>188</v>
      </c>
    </row>
    <row r="27" spans="1:15">
      <c r="A27" t="s">
        <v>196</v>
      </c>
      <c r="B27" t="s">
        <v>1123</v>
      </c>
      <c r="C27">
        <v>4.9000000000000004</v>
      </c>
      <c r="D27">
        <v>19105</v>
      </c>
      <c r="E27" t="s">
        <v>1157</v>
      </c>
      <c r="F27" t="s">
        <v>1155</v>
      </c>
      <c r="G27" t="s">
        <v>1178</v>
      </c>
      <c r="H27" t="s">
        <v>1179</v>
      </c>
      <c r="I27" t="s">
        <v>1180</v>
      </c>
      <c r="J27" t="s">
        <v>35</v>
      </c>
      <c r="K27" t="s">
        <v>1235</v>
      </c>
      <c r="L27" t="s">
        <v>199</v>
      </c>
      <c r="M27">
        <v>10.7742179999999</v>
      </c>
      <c r="N27">
        <v>106.696605899999</v>
      </c>
      <c r="O27" t="s">
        <v>195</v>
      </c>
    </row>
    <row r="28" spans="1:15">
      <c r="A28" t="s">
        <v>201</v>
      </c>
      <c r="B28" t="s">
        <v>1123</v>
      </c>
      <c r="C28">
        <v>4.5</v>
      </c>
      <c r="D28">
        <v>1242</v>
      </c>
      <c r="E28" t="s">
        <v>1156</v>
      </c>
      <c r="F28" t="s">
        <v>1155</v>
      </c>
      <c r="G28" t="s">
        <v>1181</v>
      </c>
      <c r="H28" t="s">
        <v>1179</v>
      </c>
      <c r="I28" t="s">
        <v>1180</v>
      </c>
      <c r="J28" t="s">
        <v>23</v>
      </c>
      <c r="K28" t="s">
        <v>1235</v>
      </c>
      <c r="L28" t="s">
        <v>204</v>
      </c>
      <c r="M28">
        <v>10.786464</v>
      </c>
      <c r="N28">
        <v>106.694317</v>
      </c>
      <c r="O28" t="s">
        <v>200</v>
      </c>
    </row>
    <row r="29" spans="1:15">
      <c r="A29" t="s">
        <v>206</v>
      </c>
      <c r="B29" t="s">
        <v>1125</v>
      </c>
      <c r="C29">
        <v>4.5</v>
      </c>
      <c r="D29">
        <v>23</v>
      </c>
      <c r="E29" t="s">
        <v>1142</v>
      </c>
      <c r="F29" t="s">
        <v>1157</v>
      </c>
      <c r="G29" t="s">
        <v>1189</v>
      </c>
      <c r="H29" t="s">
        <v>1179</v>
      </c>
      <c r="I29" t="s">
        <v>1180</v>
      </c>
      <c r="J29" t="s">
        <v>1216</v>
      </c>
      <c r="K29" t="s">
        <v>1237</v>
      </c>
      <c r="L29" t="s">
        <v>207</v>
      </c>
      <c r="M29">
        <v>10.787003</v>
      </c>
      <c r="N29">
        <v>106.6923163</v>
      </c>
      <c r="O29" t="s">
        <v>205</v>
      </c>
    </row>
    <row r="30" spans="1:15">
      <c r="A30" t="s">
        <v>212</v>
      </c>
      <c r="B30" t="s">
        <v>1125</v>
      </c>
      <c r="C30">
        <v>4.4000000000000004</v>
      </c>
      <c r="D30">
        <v>1178</v>
      </c>
      <c r="E30" t="s">
        <v>1138</v>
      </c>
      <c r="F30" t="s">
        <v>1155</v>
      </c>
      <c r="G30" t="s">
        <v>1181</v>
      </c>
      <c r="H30" t="s">
        <v>1179</v>
      </c>
      <c r="I30" t="s">
        <v>1180</v>
      </c>
      <c r="J30" t="s">
        <v>23</v>
      </c>
      <c r="K30" t="s">
        <v>1237</v>
      </c>
      <c r="L30" t="s">
        <v>216</v>
      </c>
      <c r="M30">
        <v>10.7753458</v>
      </c>
      <c r="N30">
        <v>106.6902814</v>
      </c>
      <c r="O30" t="s">
        <v>211</v>
      </c>
    </row>
    <row r="31" spans="1:15">
      <c r="A31" t="s">
        <v>218</v>
      </c>
      <c r="B31" t="s">
        <v>1123</v>
      </c>
      <c r="C31">
        <v>4.9000000000000004</v>
      </c>
      <c r="D31">
        <v>1419</v>
      </c>
      <c r="E31" t="s">
        <v>1138</v>
      </c>
      <c r="F31" t="s">
        <v>1155</v>
      </c>
      <c r="G31" t="s">
        <v>1191</v>
      </c>
      <c r="H31" t="s">
        <v>1179</v>
      </c>
      <c r="I31" t="s">
        <v>1135</v>
      </c>
      <c r="J31" t="s">
        <v>1192</v>
      </c>
      <c r="K31" t="s">
        <v>1235</v>
      </c>
      <c r="L31" t="s">
        <v>219</v>
      </c>
      <c r="M31">
        <v>10.7716642999999</v>
      </c>
      <c r="N31">
        <v>106.6950738</v>
      </c>
      <c r="O31" t="s">
        <v>217</v>
      </c>
    </row>
    <row r="32" spans="1:15">
      <c r="A32" t="s">
        <v>223</v>
      </c>
      <c r="B32" t="s">
        <v>1124</v>
      </c>
      <c r="C32">
        <v>4.3</v>
      </c>
      <c r="D32">
        <v>489</v>
      </c>
      <c r="E32" t="s">
        <v>1138</v>
      </c>
      <c r="F32" t="s">
        <v>1157</v>
      </c>
      <c r="G32" t="s">
        <v>1191</v>
      </c>
      <c r="H32" t="s">
        <v>1179</v>
      </c>
      <c r="I32" t="s">
        <v>1135</v>
      </c>
      <c r="J32" t="s">
        <v>1209</v>
      </c>
      <c r="K32" t="s">
        <v>1237</v>
      </c>
      <c r="L32" t="s">
        <v>227</v>
      </c>
      <c r="M32">
        <v>10.7898785</v>
      </c>
      <c r="N32">
        <v>106.7109045</v>
      </c>
      <c r="O32" t="s">
        <v>222</v>
      </c>
    </row>
    <row r="33" spans="1:15">
      <c r="A33" t="s">
        <v>229</v>
      </c>
      <c r="B33" t="s">
        <v>1123</v>
      </c>
      <c r="C33">
        <v>4.8</v>
      </c>
      <c r="D33">
        <v>2179</v>
      </c>
      <c r="E33" t="s">
        <v>1157</v>
      </c>
      <c r="F33" t="s">
        <v>1155</v>
      </c>
      <c r="G33" t="s">
        <v>1185</v>
      </c>
      <c r="H33" t="s">
        <v>1182</v>
      </c>
      <c r="I33" t="s">
        <v>1180</v>
      </c>
      <c r="J33" t="s">
        <v>1186</v>
      </c>
      <c r="K33" t="s">
        <v>1239</v>
      </c>
      <c r="L33" t="s">
        <v>232</v>
      </c>
      <c r="M33">
        <v>10.791975000000001</v>
      </c>
      <c r="N33">
        <v>106.6983939</v>
      </c>
      <c r="O33" t="s">
        <v>228</v>
      </c>
    </row>
    <row r="34" spans="1:15">
      <c r="A34" t="s">
        <v>234</v>
      </c>
      <c r="B34" t="s">
        <v>1125</v>
      </c>
      <c r="C34">
        <v>4.9000000000000004</v>
      </c>
      <c r="D34">
        <v>186</v>
      </c>
      <c r="E34" t="s">
        <v>1142</v>
      </c>
      <c r="F34" t="s">
        <v>1157</v>
      </c>
      <c r="G34" t="s">
        <v>1187</v>
      </c>
      <c r="H34" t="s">
        <v>1198</v>
      </c>
      <c r="I34" t="s">
        <v>1180</v>
      </c>
      <c r="J34" t="s">
        <v>1202</v>
      </c>
      <c r="K34" t="s">
        <v>1236</v>
      </c>
      <c r="L34" t="s">
        <v>235</v>
      </c>
      <c r="M34">
        <v>10.7900212999999</v>
      </c>
      <c r="N34">
        <v>106.6794503</v>
      </c>
      <c r="O34" t="s">
        <v>233</v>
      </c>
    </row>
    <row r="35" spans="1:15">
      <c r="A35" t="s">
        <v>248</v>
      </c>
      <c r="B35" t="s">
        <v>1123</v>
      </c>
      <c r="C35">
        <v>4.7</v>
      </c>
      <c r="D35">
        <v>126</v>
      </c>
      <c r="E35" t="s">
        <v>1138</v>
      </c>
      <c r="F35" t="s">
        <v>1155</v>
      </c>
      <c r="G35" t="s">
        <v>1187</v>
      </c>
      <c r="H35" t="s">
        <v>1182</v>
      </c>
      <c r="I35" t="s">
        <v>1180</v>
      </c>
      <c r="J35" t="s">
        <v>1188</v>
      </c>
      <c r="K35" t="s">
        <v>1236</v>
      </c>
      <c r="L35" t="s">
        <v>249</v>
      </c>
      <c r="M35">
        <v>10.7801785999999</v>
      </c>
      <c r="N35">
        <v>106.70380710000001</v>
      </c>
      <c r="O35" t="s">
        <v>247</v>
      </c>
    </row>
    <row r="36" spans="1:15">
      <c r="A36" t="s">
        <v>254</v>
      </c>
      <c r="B36" t="s">
        <v>1123</v>
      </c>
      <c r="C36">
        <v>4.9000000000000004</v>
      </c>
      <c r="D36">
        <v>2810</v>
      </c>
      <c r="E36" t="s">
        <v>1157</v>
      </c>
      <c r="F36" t="s">
        <v>1155</v>
      </c>
      <c r="G36" t="s">
        <v>1181</v>
      </c>
      <c r="H36" t="s">
        <v>1179</v>
      </c>
      <c r="I36" t="s">
        <v>1180</v>
      </c>
      <c r="J36" t="s">
        <v>1184</v>
      </c>
      <c r="K36" t="s">
        <v>1235</v>
      </c>
      <c r="L36" t="s">
        <v>256</v>
      </c>
      <c r="M36">
        <v>10.7719456</v>
      </c>
      <c r="N36">
        <v>106.6939273</v>
      </c>
      <c r="O36" t="s">
        <v>253</v>
      </c>
    </row>
    <row r="37" spans="1:15">
      <c r="A37" t="s">
        <v>261</v>
      </c>
      <c r="B37" t="s">
        <v>1123</v>
      </c>
      <c r="C37">
        <v>4.3</v>
      </c>
      <c r="D37">
        <v>488</v>
      </c>
      <c r="E37" t="s">
        <v>1142</v>
      </c>
      <c r="F37" t="s">
        <v>1157</v>
      </c>
      <c r="G37" t="s">
        <v>1178</v>
      </c>
      <c r="H37" t="s">
        <v>1198</v>
      </c>
      <c r="I37" t="s">
        <v>1180</v>
      </c>
      <c r="J37" t="s">
        <v>1203</v>
      </c>
      <c r="K37" t="s">
        <v>1236</v>
      </c>
      <c r="L37" t="s">
        <v>266</v>
      </c>
      <c r="M37">
        <v>10.7883803999999</v>
      </c>
      <c r="N37">
        <v>106.6974632</v>
      </c>
      <c r="O37" t="s">
        <v>260</v>
      </c>
    </row>
    <row r="38" spans="1:15">
      <c r="A38" t="s">
        <v>268</v>
      </c>
      <c r="B38" t="s">
        <v>1123</v>
      </c>
      <c r="C38">
        <v>4.8</v>
      </c>
      <c r="D38">
        <v>95</v>
      </c>
      <c r="E38" t="s">
        <v>1142</v>
      </c>
      <c r="F38" t="s">
        <v>1155</v>
      </c>
      <c r="G38" t="s">
        <v>1187</v>
      </c>
      <c r="H38" t="s">
        <v>1198</v>
      </c>
      <c r="I38" t="s">
        <v>1180</v>
      </c>
      <c r="J38" t="s">
        <v>1202</v>
      </c>
      <c r="K38" t="s">
        <v>1236</v>
      </c>
      <c r="L38" t="s">
        <v>269</v>
      </c>
      <c r="M38">
        <v>10.783830500000001</v>
      </c>
      <c r="N38">
        <v>106.7053702</v>
      </c>
      <c r="O38" t="s">
        <v>267</v>
      </c>
    </row>
    <row r="39" spans="1:15">
      <c r="A39" t="s">
        <v>274</v>
      </c>
      <c r="B39" t="s">
        <v>1123</v>
      </c>
      <c r="C39">
        <v>4.5999999999999996</v>
      </c>
      <c r="D39">
        <v>761</v>
      </c>
      <c r="E39" t="s">
        <v>1142</v>
      </c>
      <c r="F39" t="s">
        <v>1155</v>
      </c>
      <c r="G39" t="s">
        <v>1187</v>
      </c>
      <c r="H39" t="s">
        <v>1182</v>
      </c>
      <c r="I39" t="s">
        <v>1180</v>
      </c>
      <c r="J39" t="s">
        <v>1188</v>
      </c>
      <c r="K39" t="s">
        <v>1236</v>
      </c>
      <c r="L39" t="s">
        <v>278</v>
      </c>
      <c r="M39">
        <v>10.7847709999999</v>
      </c>
      <c r="N39">
        <v>106.7003131</v>
      </c>
      <c r="O39" t="s">
        <v>273</v>
      </c>
    </row>
    <row r="40" spans="1:15">
      <c r="A40" t="s">
        <v>280</v>
      </c>
      <c r="B40" t="s">
        <v>1123</v>
      </c>
      <c r="C40">
        <v>4.5999999999999996</v>
      </c>
      <c r="D40">
        <v>160</v>
      </c>
      <c r="E40" t="s">
        <v>1156</v>
      </c>
      <c r="F40" t="s">
        <v>1158</v>
      </c>
      <c r="G40" t="s">
        <v>1185</v>
      </c>
      <c r="H40" t="s">
        <v>1198</v>
      </c>
      <c r="I40" t="s">
        <v>1180</v>
      </c>
      <c r="J40" t="s">
        <v>1206</v>
      </c>
      <c r="K40" t="s">
        <v>1239</v>
      </c>
      <c r="L40" t="s">
        <v>281</v>
      </c>
      <c r="M40">
        <v>10.775088500000001</v>
      </c>
      <c r="N40">
        <v>106.7037454</v>
      </c>
      <c r="O40" t="s">
        <v>279</v>
      </c>
    </row>
    <row r="41" spans="1:15">
      <c r="A41" t="s">
        <v>291</v>
      </c>
      <c r="B41" t="s">
        <v>1123</v>
      </c>
      <c r="C41">
        <v>4.5</v>
      </c>
      <c r="D41">
        <v>1866</v>
      </c>
      <c r="E41" t="s">
        <v>1138</v>
      </c>
      <c r="F41" t="s">
        <v>1155</v>
      </c>
      <c r="G41" t="s">
        <v>1187</v>
      </c>
      <c r="H41" t="s">
        <v>1182</v>
      </c>
      <c r="I41" t="s">
        <v>1180</v>
      </c>
      <c r="J41" t="s">
        <v>1188</v>
      </c>
      <c r="K41" t="s">
        <v>1236</v>
      </c>
      <c r="L41" t="s">
        <v>292</v>
      </c>
      <c r="M41">
        <v>10.7926717</v>
      </c>
      <c r="N41">
        <v>106.6881952</v>
      </c>
      <c r="O41" t="s">
        <v>290</v>
      </c>
    </row>
    <row r="42" spans="1:15">
      <c r="A42" t="s">
        <v>302</v>
      </c>
      <c r="B42" t="s">
        <v>1125</v>
      </c>
      <c r="C42">
        <v>4.5</v>
      </c>
      <c r="D42">
        <v>69</v>
      </c>
      <c r="E42" t="s">
        <v>1142</v>
      </c>
      <c r="F42" t="s">
        <v>1157</v>
      </c>
      <c r="G42" t="s">
        <v>1191</v>
      </c>
      <c r="H42" t="s">
        <v>1179</v>
      </c>
      <c r="I42" t="s">
        <v>1135</v>
      </c>
      <c r="J42" t="s">
        <v>1210</v>
      </c>
      <c r="K42" t="s">
        <v>1237</v>
      </c>
      <c r="L42" t="s">
        <v>303</v>
      </c>
      <c r="M42">
        <v>10.7868864</v>
      </c>
      <c r="N42">
        <v>106.6922142</v>
      </c>
      <c r="O42" t="s">
        <v>301</v>
      </c>
    </row>
    <row r="43" spans="1:15">
      <c r="A43" t="s">
        <v>308</v>
      </c>
      <c r="B43" t="s">
        <v>1125</v>
      </c>
      <c r="C43">
        <v>4.3</v>
      </c>
      <c r="D43">
        <v>608</v>
      </c>
      <c r="E43" t="s">
        <v>1142</v>
      </c>
      <c r="F43" t="s">
        <v>1157</v>
      </c>
      <c r="G43" t="s">
        <v>1189</v>
      </c>
      <c r="H43" t="s">
        <v>1182</v>
      </c>
      <c r="I43" t="s">
        <v>1180</v>
      </c>
      <c r="J43" t="s">
        <v>1214</v>
      </c>
      <c r="K43" t="s">
        <v>1239</v>
      </c>
      <c r="L43" t="s">
        <v>207</v>
      </c>
      <c r="M43">
        <v>10.787003</v>
      </c>
      <c r="N43">
        <v>106.6923163</v>
      </c>
      <c r="O43" t="s">
        <v>307</v>
      </c>
    </row>
    <row r="44" spans="1:15">
      <c r="A44" t="s">
        <v>313</v>
      </c>
      <c r="B44" t="s">
        <v>1123</v>
      </c>
      <c r="C44">
        <v>4.2</v>
      </c>
      <c r="D44">
        <v>318</v>
      </c>
      <c r="E44" t="s">
        <v>1138</v>
      </c>
      <c r="F44" t="s">
        <v>1155</v>
      </c>
      <c r="G44" t="s">
        <v>1185</v>
      </c>
      <c r="H44" t="s">
        <v>1182</v>
      </c>
      <c r="I44" t="s">
        <v>1180</v>
      </c>
      <c r="J44" t="s">
        <v>1204</v>
      </c>
      <c r="K44" t="s">
        <v>1239</v>
      </c>
      <c r="L44" t="s">
        <v>317</v>
      </c>
      <c r="M44">
        <v>10.7883672</v>
      </c>
      <c r="N44">
        <v>106.69745020000001</v>
      </c>
      <c r="O44" t="s">
        <v>312</v>
      </c>
    </row>
    <row r="45" spans="1:15">
      <c r="A45" t="s">
        <v>319</v>
      </c>
      <c r="B45" t="s">
        <v>1123</v>
      </c>
      <c r="C45">
        <v>4.5999999999999996</v>
      </c>
      <c r="D45">
        <v>151</v>
      </c>
      <c r="E45" t="s">
        <v>1142</v>
      </c>
      <c r="F45" t="s">
        <v>1160</v>
      </c>
      <c r="G45" t="s">
        <v>1187</v>
      </c>
      <c r="H45" t="s">
        <v>1182</v>
      </c>
      <c r="I45" t="s">
        <v>1180</v>
      </c>
      <c r="J45" t="s">
        <v>1188</v>
      </c>
      <c r="K45" t="s">
        <v>1236</v>
      </c>
      <c r="L45" t="s">
        <v>324</v>
      </c>
      <c r="M45">
        <v>10.792312000000001</v>
      </c>
      <c r="N45">
        <v>106.697672999999</v>
      </c>
      <c r="O45" t="s">
        <v>318</v>
      </c>
    </row>
    <row r="46" spans="1:15">
      <c r="A46" t="s">
        <v>326</v>
      </c>
      <c r="B46" t="s">
        <v>1123</v>
      </c>
      <c r="C46">
        <v>4.8</v>
      </c>
      <c r="D46">
        <v>809</v>
      </c>
      <c r="E46" t="s">
        <v>1157</v>
      </c>
      <c r="F46" t="s">
        <v>1155</v>
      </c>
      <c r="G46" t="s">
        <v>1191</v>
      </c>
      <c r="H46" t="s">
        <v>1198</v>
      </c>
      <c r="I46" t="s">
        <v>1135</v>
      </c>
      <c r="J46" t="s">
        <v>1199</v>
      </c>
      <c r="K46" t="s">
        <v>1238</v>
      </c>
      <c r="L46" t="s">
        <v>329</v>
      </c>
      <c r="M46">
        <v>10.784485800000001</v>
      </c>
      <c r="N46">
        <v>106.6975065</v>
      </c>
      <c r="O46" t="s">
        <v>325</v>
      </c>
    </row>
    <row r="47" spans="1:15">
      <c r="A47" t="s">
        <v>331</v>
      </c>
      <c r="B47" t="s">
        <v>1124</v>
      </c>
      <c r="C47">
        <v>4.5</v>
      </c>
      <c r="D47">
        <v>169</v>
      </c>
      <c r="E47" t="s">
        <v>1138</v>
      </c>
      <c r="F47" t="s">
        <v>1155</v>
      </c>
      <c r="G47" t="s">
        <v>1191</v>
      </c>
      <c r="H47" t="s">
        <v>1198</v>
      </c>
      <c r="I47" t="s">
        <v>1135</v>
      </c>
      <c r="J47" t="s">
        <v>1211</v>
      </c>
      <c r="K47" t="s">
        <v>1238</v>
      </c>
      <c r="L47" t="s">
        <v>332</v>
      </c>
      <c r="M47">
        <v>10.795483000000001</v>
      </c>
      <c r="N47">
        <v>106.71013790000001</v>
      </c>
      <c r="O47" t="s">
        <v>330</v>
      </c>
    </row>
    <row r="48" spans="1:15">
      <c r="A48" t="s">
        <v>336</v>
      </c>
      <c r="B48" t="s">
        <v>1123</v>
      </c>
      <c r="C48">
        <v>4.8</v>
      </c>
      <c r="D48">
        <v>313</v>
      </c>
      <c r="E48" t="s">
        <v>1138</v>
      </c>
      <c r="F48" t="s">
        <v>1155</v>
      </c>
      <c r="G48" t="s">
        <v>1185</v>
      </c>
      <c r="H48" t="s">
        <v>1182</v>
      </c>
      <c r="I48" t="s">
        <v>1180</v>
      </c>
      <c r="J48" t="s">
        <v>1205</v>
      </c>
      <c r="K48" t="s">
        <v>1239</v>
      </c>
      <c r="L48" t="s">
        <v>337</v>
      </c>
      <c r="M48">
        <v>10.7926748</v>
      </c>
      <c r="N48">
        <v>106.691136099999</v>
      </c>
      <c r="O48" t="s">
        <v>335</v>
      </c>
    </row>
    <row r="49" spans="1:15">
      <c r="A49" t="s">
        <v>342</v>
      </c>
      <c r="B49" t="s">
        <v>1125</v>
      </c>
      <c r="C49">
        <v>4.4000000000000004</v>
      </c>
      <c r="D49">
        <v>1119</v>
      </c>
      <c r="E49" t="s">
        <v>1138</v>
      </c>
      <c r="F49" t="s">
        <v>1155</v>
      </c>
      <c r="G49" t="s">
        <v>1178</v>
      </c>
      <c r="H49" t="s">
        <v>1198</v>
      </c>
      <c r="I49" t="s">
        <v>1180</v>
      </c>
      <c r="J49" t="s">
        <v>1203</v>
      </c>
      <c r="K49" t="s">
        <v>1236</v>
      </c>
      <c r="L49" t="s">
        <v>345</v>
      </c>
      <c r="M49">
        <v>10.7787053</v>
      </c>
      <c r="N49">
        <v>106.6885592</v>
      </c>
      <c r="O49" t="s">
        <v>341</v>
      </c>
    </row>
    <row r="50" spans="1:15">
      <c r="A50" t="s">
        <v>347</v>
      </c>
      <c r="B50" t="s">
        <v>1125</v>
      </c>
      <c r="C50">
        <v>4.5</v>
      </c>
      <c r="D50">
        <v>662</v>
      </c>
      <c r="E50" t="s">
        <v>1142</v>
      </c>
      <c r="F50" t="s">
        <v>1155</v>
      </c>
      <c r="G50" t="s">
        <v>1187</v>
      </c>
      <c r="H50" t="s">
        <v>1198</v>
      </c>
      <c r="I50" t="s">
        <v>1180</v>
      </c>
      <c r="J50" t="s">
        <v>1202</v>
      </c>
      <c r="K50" t="s">
        <v>1236</v>
      </c>
      <c r="L50" t="s">
        <v>350</v>
      </c>
      <c r="M50">
        <v>10.7864413999999</v>
      </c>
      <c r="N50">
        <v>106.6923565</v>
      </c>
      <c r="O50" t="s">
        <v>346</v>
      </c>
    </row>
    <row r="51" spans="1:15">
      <c r="A51" t="s">
        <v>352</v>
      </c>
      <c r="B51" t="s">
        <v>1123</v>
      </c>
      <c r="C51">
        <v>4.3</v>
      </c>
      <c r="D51">
        <v>1061</v>
      </c>
      <c r="E51" t="s">
        <v>1138</v>
      </c>
      <c r="F51" t="s">
        <v>1155</v>
      </c>
      <c r="G51" t="s">
        <v>1191</v>
      </c>
      <c r="H51" t="s">
        <v>1179</v>
      </c>
      <c r="I51" t="s">
        <v>1135</v>
      </c>
      <c r="J51" t="s">
        <v>1194</v>
      </c>
      <c r="K51" t="s">
        <v>1235</v>
      </c>
      <c r="L51" t="s">
        <v>355</v>
      </c>
      <c r="M51">
        <v>10.7889806</v>
      </c>
      <c r="N51">
        <v>106.69825830000001</v>
      </c>
      <c r="O51" t="s">
        <v>351</v>
      </c>
    </row>
    <row r="52" spans="1:15">
      <c r="A52" t="s">
        <v>357</v>
      </c>
      <c r="B52" t="s">
        <v>1123</v>
      </c>
      <c r="C52">
        <v>4.9000000000000004</v>
      </c>
      <c r="D52">
        <v>834</v>
      </c>
      <c r="E52" t="s">
        <v>1138</v>
      </c>
      <c r="F52" t="s">
        <v>1155</v>
      </c>
      <c r="G52" t="s">
        <v>1189</v>
      </c>
      <c r="H52" t="s">
        <v>1179</v>
      </c>
      <c r="I52" t="s">
        <v>1135</v>
      </c>
      <c r="J52" t="s">
        <v>1197</v>
      </c>
      <c r="K52" t="s">
        <v>1235</v>
      </c>
      <c r="L52" t="s">
        <v>358</v>
      </c>
      <c r="M52">
        <v>10.7702528999999</v>
      </c>
      <c r="N52">
        <v>106.70203480000001</v>
      </c>
      <c r="O52" t="s">
        <v>356</v>
      </c>
    </row>
    <row r="53" spans="1:15">
      <c r="A53" t="s">
        <v>362</v>
      </c>
      <c r="B53" t="s">
        <v>1125</v>
      </c>
      <c r="C53">
        <v>4.9000000000000004</v>
      </c>
      <c r="D53">
        <v>51</v>
      </c>
      <c r="E53" t="s">
        <v>1142</v>
      </c>
      <c r="F53" t="s">
        <v>1155</v>
      </c>
      <c r="G53" t="s">
        <v>1178</v>
      </c>
      <c r="H53" t="s">
        <v>1179</v>
      </c>
      <c r="I53" t="s">
        <v>1180</v>
      </c>
      <c r="J53" t="s">
        <v>35</v>
      </c>
      <c r="K53" t="s">
        <v>1237</v>
      </c>
      <c r="L53" t="s">
        <v>363</v>
      </c>
      <c r="M53">
        <v>10.775721600000001</v>
      </c>
      <c r="N53">
        <v>106.6747094</v>
      </c>
      <c r="O53" t="s">
        <v>361</v>
      </c>
    </row>
    <row r="54" spans="1:15">
      <c r="A54" t="s">
        <v>368</v>
      </c>
      <c r="B54" t="s">
        <v>1125</v>
      </c>
      <c r="C54">
        <v>4.5</v>
      </c>
      <c r="D54">
        <v>90</v>
      </c>
      <c r="E54" t="s">
        <v>1142</v>
      </c>
      <c r="F54" t="s">
        <v>1155</v>
      </c>
      <c r="G54" t="s">
        <v>1178</v>
      </c>
      <c r="H54" t="s">
        <v>1198</v>
      </c>
      <c r="I54" t="s">
        <v>1180</v>
      </c>
      <c r="J54" t="s">
        <v>1203</v>
      </c>
      <c r="K54" t="s">
        <v>1236</v>
      </c>
      <c r="L54" t="s">
        <v>369</v>
      </c>
      <c r="M54">
        <v>10.78609</v>
      </c>
      <c r="N54">
        <v>106.671357</v>
      </c>
      <c r="O54" t="s">
        <v>367</v>
      </c>
    </row>
    <row r="55" spans="1:15">
      <c r="A55" t="s">
        <v>374</v>
      </c>
      <c r="B55" t="s">
        <v>1125</v>
      </c>
      <c r="C55">
        <v>4.4000000000000004</v>
      </c>
      <c r="D55">
        <v>629</v>
      </c>
      <c r="E55" t="s">
        <v>1138</v>
      </c>
      <c r="F55" t="s">
        <v>1160</v>
      </c>
      <c r="G55" t="s">
        <v>1181</v>
      </c>
      <c r="H55" t="s">
        <v>1179</v>
      </c>
      <c r="I55" t="s">
        <v>1180</v>
      </c>
      <c r="J55" t="s">
        <v>23</v>
      </c>
      <c r="K55" t="s">
        <v>1237</v>
      </c>
      <c r="L55" t="s">
        <v>378</v>
      </c>
      <c r="M55">
        <v>10.7904546</v>
      </c>
      <c r="N55">
        <v>106.6826408</v>
      </c>
      <c r="O55" t="s">
        <v>373</v>
      </c>
    </row>
    <row r="56" spans="1:15">
      <c r="A56" t="s">
        <v>380</v>
      </c>
      <c r="B56" t="s">
        <v>1127</v>
      </c>
      <c r="C56">
        <v>4.9000000000000004</v>
      </c>
      <c r="D56">
        <v>333</v>
      </c>
      <c r="E56" t="s">
        <v>1157</v>
      </c>
      <c r="F56" t="s">
        <v>1155</v>
      </c>
      <c r="G56" t="s">
        <v>1191</v>
      </c>
      <c r="H56" t="s">
        <v>1198</v>
      </c>
      <c r="I56" t="s">
        <v>1135</v>
      </c>
      <c r="J56" t="s">
        <v>1211</v>
      </c>
      <c r="K56" t="s">
        <v>1238</v>
      </c>
      <c r="L56" t="s">
        <v>382</v>
      </c>
      <c r="M56">
        <v>10.808991000000001</v>
      </c>
      <c r="N56">
        <v>106.753609</v>
      </c>
      <c r="O56" t="s">
        <v>379</v>
      </c>
    </row>
    <row r="57" spans="1:15">
      <c r="A57" t="s">
        <v>380</v>
      </c>
      <c r="B57" t="s">
        <v>1127</v>
      </c>
      <c r="C57">
        <v>4.9000000000000004</v>
      </c>
      <c r="D57">
        <v>334</v>
      </c>
      <c r="E57" t="s">
        <v>1138</v>
      </c>
      <c r="F57" t="s">
        <v>1155</v>
      </c>
      <c r="G57" t="s">
        <v>1191</v>
      </c>
      <c r="H57" t="s">
        <v>1198</v>
      </c>
      <c r="I57" t="s">
        <v>1135</v>
      </c>
      <c r="J57" t="s">
        <v>1211</v>
      </c>
      <c r="K57" t="s">
        <v>1238</v>
      </c>
      <c r="L57" t="s">
        <v>382</v>
      </c>
      <c r="M57">
        <v>10.808991000000001</v>
      </c>
      <c r="N57">
        <v>106.753609</v>
      </c>
      <c r="O57" t="s">
        <v>595</v>
      </c>
    </row>
    <row r="58" spans="1:15">
      <c r="A58" t="s">
        <v>388</v>
      </c>
      <c r="B58" t="s">
        <v>1123</v>
      </c>
      <c r="C58">
        <v>4.3</v>
      </c>
      <c r="D58">
        <v>500</v>
      </c>
      <c r="E58" t="s">
        <v>1138</v>
      </c>
      <c r="F58" t="s">
        <v>1155</v>
      </c>
      <c r="G58" t="s">
        <v>1178</v>
      </c>
      <c r="H58" t="s">
        <v>1198</v>
      </c>
      <c r="I58" t="s">
        <v>1180</v>
      </c>
      <c r="J58" t="s">
        <v>1203</v>
      </c>
      <c r="K58" t="s">
        <v>1236</v>
      </c>
      <c r="L58" t="s">
        <v>389</v>
      </c>
      <c r="M58">
        <v>10.778468</v>
      </c>
      <c r="N58">
        <v>106.69877200000001</v>
      </c>
      <c r="O58" t="s">
        <v>387</v>
      </c>
    </row>
    <row r="59" spans="1:15">
      <c r="A59" t="s">
        <v>399</v>
      </c>
      <c r="B59" t="s">
        <v>1125</v>
      </c>
      <c r="C59">
        <v>4.7</v>
      </c>
      <c r="D59">
        <v>29</v>
      </c>
      <c r="E59" t="s">
        <v>1142</v>
      </c>
      <c r="F59" t="s">
        <v>1160</v>
      </c>
      <c r="G59" t="s">
        <v>1187</v>
      </c>
      <c r="H59" t="s">
        <v>1182</v>
      </c>
      <c r="I59" t="s">
        <v>1180</v>
      </c>
      <c r="J59" t="s">
        <v>1188</v>
      </c>
      <c r="K59" t="s">
        <v>1236</v>
      </c>
      <c r="L59" t="s">
        <v>403</v>
      </c>
      <c r="M59">
        <v>10.7839524</v>
      </c>
      <c r="N59">
        <v>106.68209400000001</v>
      </c>
      <c r="O59" t="s">
        <v>398</v>
      </c>
    </row>
    <row r="60" spans="1:15">
      <c r="A60" t="s">
        <v>405</v>
      </c>
      <c r="B60" t="s">
        <v>1123</v>
      </c>
      <c r="C60">
        <v>4.0999999999999996</v>
      </c>
      <c r="D60">
        <v>16</v>
      </c>
      <c r="E60" t="s">
        <v>1156</v>
      </c>
      <c r="F60" t="s">
        <v>1155</v>
      </c>
      <c r="G60" t="s">
        <v>1178</v>
      </c>
      <c r="H60" t="s">
        <v>1179</v>
      </c>
      <c r="I60" t="s">
        <v>1180</v>
      </c>
      <c r="J60" t="s">
        <v>23</v>
      </c>
      <c r="K60" t="s">
        <v>1235</v>
      </c>
      <c r="L60" t="s">
        <v>406</v>
      </c>
      <c r="M60">
        <v>10.7750811</v>
      </c>
      <c r="N60">
        <v>106.700503</v>
      </c>
      <c r="O60" t="s">
        <v>404</v>
      </c>
    </row>
    <row r="61" spans="1:15">
      <c r="A61" t="s">
        <v>405</v>
      </c>
      <c r="B61" t="s">
        <v>1123</v>
      </c>
      <c r="C61">
        <v>4.8</v>
      </c>
      <c r="D61">
        <v>36</v>
      </c>
      <c r="E61" t="s">
        <v>1156</v>
      </c>
      <c r="F61" t="s">
        <v>1155</v>
      </c>
      <c r="G61" t="s">
        <v>1178</v>
      </c>
      <c r="H61" t="s">
        <v>1179</v>
      </c>
      <c r="I61" t="s">
        <v>1180</v>
      </c>
      <c r="J61" t="s">
        <v>23</v>
      </c>
      <c r="K61" t="s">
        <v>1235</v>
      </c>
      <c r="L61" t="s">
        <v>535</v>
      </c>
      <c r="M61">
        <v>10.7750811</v>
      </c>
      <c r="N61">
        <v>106.700503</v>
      </c>
      <c r="O61" t="s">
        <v>534</v>
      </c>
    </row>
    <row r="62" spans="1:15">
      <c r="A62" t="s">
        <v>411</v>
      </c>
      <c r="B62" t="s">
        <v>1123</v>
      </c>
      <c r="C62">
        <v>4.9000000000000004</v>
      </c>
      <c r="D62">
        <v>1600</v>
      </c>
      <c r="E62" t="s">
        <v>1142</v>
      </c>
      <c r="F62" t="s">
        <v>1157</v>
      </c>
      <c r="G62" t="s">
        <v>1189</v>
      </c>
      <c r="H62" t="s">
        <v>1179</v>
      </c>
      <c r="I62" t="s">
        <v>1180</v>
      </c>
      <c r="J62" t="s">
        <v>1190</v>
      </c>
      <c r="K62" t="s">
        <v>1235</v>
      </c>
      <c r="L62" t="s">
        <v>417</v>
      </c>
      <c r="M62">
        <v>10.7723259</v>
      </c>
      <c r="N62">
        <v>106.6945746</v>
      </c>
      <c r="O62" t="s">
        <v>410</v>
      </c>
    </row>
    <row r="63" spans="1:15">
      <c r="A63" t="s">
        <v>419</v>
      </c>
      <c r="B63" t="s">
        <v>1125</v>
      </c>
      <c r="C63">
        <v>4.7</v>
      </c>
      <c r="D63">
        <v>1269</v>
      </c>
      <c r="E63" t="s">
        <v>1157</v>
      </c>
      <c r="F63" t="s">
        <v>1155</v>
      </c>
      <c r="G63" t="s">
        <v>1181</v>
      </c>
      <c r="H63" t="s">
        <v>1179</v>
      </c>
      <c r="I63" t="s">
        <v>1180</v>
      </c>
      <c r="J63" t="s">
        <v>1195</v>
      </c>
      <c r="K63" t="s">
        <v>1237</v>
      </c>
      <c r="L63" t="s">
        <v>422</v>
      </c>
      <c r="M63">
        <v>10.771598600000001</v>
      </c>
      <c r="N63">
        <v>106.6885602</v>
      </c>
      <c r="O63" t="s">
        <v>418</v>
      </c>
    </row>
    <row r="64" spans="1:15">
      <c r="A64" t="s">
        <v>424</v>
      </c>
      <c r="B64" t="s">
        <v>1123</v>
      </c>
      <c r="C64">
        <v>4.4000000000000004</v>
      </c>
      <c r="D64">
        <v>297</v>
      </c>
      <c r="E64" t="s">
        <v>1138</v>
      </c>
      <c r="F64" t="s">
        <v>1155</v>
      </c>
      <c r="G64" t="s">
        <v>1187</v>
      </c>
      <c r="H64" t="s">
        <v>1182</v>
      </c>
      <c r="I64" t="s">
        <v>1180</v>
      </c>
      <c r="J64" t="s">
        <v>1188</v>
      </c>
      <c r="K64" t="s">
        <v>1236</v>
      </c>
      <c r="L64" t="s">
        <v>425</v>
      </c>
      <c r="M64">
        <v>10.7927559</v>
      </c>
      <c r="N64">
        <v>106.6897702</v>
      </c>
      <c r="O64" t="s">
        <v>423</v>
      </c>
    </row>
    <row r="65" spans="1:15">
      <c r="A65" t="s">
        <v>430</v>
      </c>
      <c r="B65" t="s">
        <v>1123</v>
      </c>
      <c r="C65">
        <v>4.8</v>
      </c>
      <c r="D65">
        <v>94</v>
      </c>
      <c r="E65" t="s">
        <v>1138</v>
      </c>
      <c r="F65" t="s">
        <v>1158</v>
      </c>
      <c r="G65" t="s">
        <v>1187</v>
      </c>
      <c r="H65" t="s">
        <v>1182</v>
      </c>
      <c r="I65" t="s">
        <v>1180</v>
      </c>
      <c r="J65" t="s">
        <v>1188</v>
      </c>
      <c r="K65" t="s">
        <v>1236</v>
      </c>
      <c r="L65" t="s">
        <v>431</v>
      </c>
      <c r="M65">
        <v>10.773197</v>
      </c>
      <c r="N65">
        <v>106.701892</v>
      </c>
      <c r="O65" t="s">
        <v>429</v>
      </c>
    </row>
    <row r="66" spans="1:15">
      <c r="A66" t="s">
        <v>436</v>
      </c>
      <c r="B66" t="s">
        <v>1123</v>
      </c>
      <c r="C66">
        <v>4.9000000000000004</v>
      </c>
      <c r="D66">
        <v>11585</v>
      </c>
      <c r="E66" t="s">
        <v>1157</v>
      </c>
      <c r="F66" t="s">
        <v>1155</v>
      </c>
      <c r="G66" t="s">
        <v>1181</v>
      </c>
      <c r="H66" t="s">
        <v>1179</v>
      </c>
      <c r="I66" t="s">
        <v>1180</v>
      </c>
      <c r="J66" t="s">
        <v>23</v>
      </c>
      <c r="K66" t="s">
        <v>1235</v>
      </c>
      <c r="L66" t="s">
        <v>439</v>
      </c>
      <c r="M66">
        <v>10.7726481</v>
      </c>
      <c r="N66">
        <v>106.696483599999</v>
      </c>
      <c r="O66" t="s">
        <v>435</v>
      </c>
    </row>
    <row r="67" spans="1:15">
      <c r="A67" t="s">
        <v>441</v>
      </c>
      <c r="B67" t="s">
        <v>1125</v>
      </c>
      <c r="C67">
        <v>4.7</v>
      </c>
      <c r="D67">
        <v>48</v>
      </c>
      <c r="E67" t="s">
        <v>1142</v>
      </c>
      <c r="F67" t="s">
        <v>1160</v>
      </c>
      <c r="G67" t="s">
        <v>1187</v>
      </c>
      <c r="H67" t="s">
        <v>1182</v>
      </c>
      <c r="I67" t="s">
        <v>1180</v>
      </c>
      <c r="J67" t="s">
        <v>1188</v>
      </c>
      <c r="K67" t="s">
        <v>1236</v>
      </c>
      <c r="L67" t="s">
        <v>442</v>
      </c>
      <c r="M67">
        <v>10.788872</v>
      </c>
      <c r="N67">
        <v>106.6846244</v>
      </c>
      <c r="O67" t="s">
        <v>440</v>
      </c>
    </row>
    <row r="68" spans="1:15">
      <c r="A68" t="s">
        <v>447</v>
      </c>
      <c r="B68" t="s">
        <v>1125</v>
      </c>
      <c r="C68">
        <v>4.9000000000000004</v>
      </c>
      <c r="D68">
        <v>2008</v>
      </c>
      <c r="E68" t="s">
        <v>1157</v>
      </c>
      <c r="F68" t="s">
        <v>1155</v>
      </c>
      <c r="G68" t="s">
        <v>1191</v>
      </c>
      <c r="H68" t="s">
        <v>1179</v>
      </c>
      <c r="I68" t="s">
        <v>1135</v>
      </c>
      <c r="J68" t="s">
        <v>1213</v>
      </c>
      <c r="K68" t="s">
        <v>1237</v>
      </c>
      <c r="L68" t="s">
        <v>450</v>
      </c>
      <c r="M68">
        <v>10.7770411</v>
      </c>
      <c r="N68">
        <v>106.688596899999</v>
      </c>
      <c r="O68" t="s">
        <v>446</v>
      </c>
    </row>
    <row r="69" spans="1:15">
      <c r="A69" t="s">
        <v>452</v>
      </c>
      <c r="B69" t="s">
        <v>1125</v>
      </c>
      <c r="C69">
        <v>4.7</v>
      </c>
      <c r="D69">
        <v>786</v>
      </c>
      <c r="E69" t="s">
        <v>1138</v>
      </c>
      <c r="F69" t="s">
        <v>1155</v>
      </c>
      <c r="G69" t="s">
        <v>1187</v>
      </c>
      <c r="H69" t="s">
        <v>1182</v>
      </c>
      <c r="I69" t="s">
        <v>1180</v>
      </c>
      <c r="J69" t="s">
        <v>1188</v>
      </c>
      <c r="K69" t="s">
        <v>1236</v>
      </c>
      <c r="L69" t="s">
        <v>455</v>
      </c>
      <c r="M69">
        <v>10.7868169999999</v>
      </c>
      <c r="N69">
        <v>106.6819498</v>
      </c>
      <c r="O69" t="s">
        <v>451</v>
      </c>
    </row>
    <row r="70" spans="1:15">
      <c r="A70" t="s">
        <v>457</v>
      </c>
      <c r="B70" t="s">
        <v>1123</v>
      </c>
      <c r="C70">
        <v>4.5</v>
      </c>
      <c r="D70">
        <v>281</v>
      </c>
      <c r="E70" t="s">
        <v>1138</v>
      </c>
      <c r="F70" t="s">
        <v>1155</v>
      </c>
      <c r="G70" t="s">
        <v>1187</v>
      </c>
      <c r="H70" t="s">
        <v>1182</v>
      </c>
      <c r="I70" t="s">
        <v>1180</v>
      </c>
      <c r="J70" t="s">
        <v>1188</v>
      </c>
      <c r="K70" t="s">
        <v>1236</v>
      </c>
      <c r="L70" t="s">
        <v>458</v>
      </c>
      <c r="M70">
        <v>10.792407600000001</v>
      </c>
      <c r="N70">
        <v>106.687836399999</v>
      </c>
      <c r="O70" t="s">
        <v>456</v>
      </c>
    </row>
    <row r="71" spans="1:15">
      <c r="A71" t="s">
        <v>463</v>
      </c>
      <c r="B71" t="s">
        <v>1123</v>
      </c>
      <c r="C71">
        <v>4.5</v>
      </c>
      <c r="D71">
        <v>11336</v>
      </c>
      <c r="E71" t="s">
        <v>1157</v>
      </c>
      <c r="F71" t="s">
        <v>1155</v>
      </c>
      <c r="G71" t="s">
        <v>1187</v>
      </c>
      <c r="H71" t="s">
        <v>1182</v>
      </c>
      <c r="I71" t="s">
        <v>1180</v>
      </c>
      <c r="J71" t="s">
        <v>1183</v>
      </c>
      <c r="K71" t="s">
        <v>1236</v>
      </c>
      <c r="L71" t="s">
        <v>467</v>
      </c>
      <c r="M71">
        <v>10.7738567</v>
      </c>
      <c r="N71">
        <v>106.6980798</v>
      </c>
      <c r="O71" t="s">
        <v>462</v>
      </c>
    </row>
    <row r="72" spans="1:15">
      <c r="A72" t="s">
        <v>469</v>
      </c>
      <c r="B72" t="s">
        <v>1127</v>
      </c>
      <c r="C72">
        <v>4.9000000000000004</v>
      </c>
      <c r="D72">
        <v>525</v>
      </c>
      <c r="E72" t="s">
        <v>1157</v>
      </c>
      <c r="F72" t="s">
        <v>1157</v>
      </c>
      <c r="G72" t="s">
        <v>1181</v>
      </c>
      <c r="H72" t="s">
        <v>1179</v>
      </c>
      <c r="I72" t="s">
        <v>1180</v>
      </c>
      <c r="J72" t="s">
        <v>1195</v>
      </c>
      <c r="K72" t="s">
        <v>1240</v>
      </c>
      <c r="L72" t="s">
        <v>470</v>
      </c>
      <c r="M72">
        <v>10.801888</v>
      </c>
      <c r="N72">
        <v>106.7354722</v>
      </c>
      <c r="O72" t="s">
        <v>468</v>
      </c>
    </row>
    <row r="73" spans="1:15">
      <c r="A73" t="s">
        <v>476</v>
      </c>
      <c r="B73" t="s">
        <v>1127</v>
      </c>
      <c r="C73">
        <v>4.4000000000000004</v>
      </c>
      <c r="D73">
        <v>712</v>
      </c>
      <c r="E73" t="s">
        <v>1138</v>
      </c>
      <c r="F73" t="s">
        <v>1157</v>
      </c>
      <c r="G73" t="s">
        <v>1181</v>
      </c>
      <c r="H73" t="s">
        <v>1179</v>
      </c>
      <c r="I73" t="s">
        <v>1180</v>
      </c>
      <c r="J73" t="s">
        <v>23</v>
      </c>
      <c r="K73" t="s">
        <v>1240</v>
      </c>
      <c r="L73" t="s">
        <v>479</v>
      </c>
      <c r="M73">
        <v>10.797603000000001</v>
      </c>
      <c r="N73">
        <v>106.741508499999</v>
      </c>
      <c r="O73" t="s">
        <v>475</v>
      </c>
    </row>
    <row r="74" spans="1:15">
      <c r="A74" t="s">
        <v>481</v>
      </c>
      <c r="B74" t="s">
        <v>1127</v>
      </c>
      <c r="C74">
        <v>4.5999999999999996</v>
      </c>
      <c r="D74">
        <v>394</v>
      </c>
      <c r="E74" t="s">
        <v>1142</v>
      </c>
      <c r="F74" t="s">
        <v>1155</v>
      </c>
      <c r="G74" t="s">
        <v>1181</v>
      </c>
      <c r="H74" t="s">
        <v>1179</v>
      </c>
      <c r="I74" t="s">
        <v>1180</v>
      </c>
      <c r="J74" t="s">
        <v>23</v>
      </c>
      <c r="K74" t="s">
        <v>1240</v>
      </c>
      <c r="L74" t="s">
        <v>482</v>
      </c>
      <c r="M74">
        <v>10.7961531</v>
      </c>
      <c r="N74">
        <v>106.7310219</v>
      </c>
      <c r="O74" t="s">
        <v>480</v>
      </c>
    </row>
    <row r="75" spans="1:15">
      <c r="A75" t="s">
        <v>487</v>
      </c>
      <c r="B75" t="s">
        <v>1127</v>
      </c>
      <c r="C75">
        <v>4.8</v>
      </c>
      <c r="D75">
        <v>629</v>
      </c>
      <c r="E75" t="s">
        <v>1157</v>
      </c>
      <c r="F75" t="s">
        <v>1155</v>
      </c>
      <c r="G75" t="s">
        <v>1187</v>
      </c>
      <c r="H75" t="s">
        <v>1198</v>
      </c>
      <c r="I75" t="s">
        <v>1180</v>
      </c>
      <c r="J75" t="s">
        <v>1202</v>
      </c>
      <c r="K75" t="s">
        <v>1236</v>
      </c>
      <c r="L75" t="s">
        <v>489</v>
      </c>
      <c r="M75">
        <v>10.802349</v>
      </c>
      <c r="N75">
        <v>106.73715970000001</v>
      </c>
      <c r="O75" t="s">
        <v>486</v>
      </c>
    </row>
    <row r="76" spans="1:15">
      <c r="A76" t="s">
        <v>494</v>
      </c>
      <c r="B76" t="s">
        <v>1127</v>
      </c>
      <c r="C76">
        <v>4.8</v>
      </c>
      <c r="D76">
        <v>1644</v>
      </c>
      <c r="E76" t="s">
        <v>1156</v>
      </c>
      <c r="F76" t="s">
        <v>1155</v>
      </c>
      <c r="G76" t="s">
        <v>1191</v>
      </c>
      <c r="H76" t="s">
        <v>1198</v>
      </c>
      <c r="I76" t="s">
        <v>1135</v>
      </c>
      <c r="J76" t="s">
        <v>1217</v>
      </c>
      <c r="K76" t="s">
        <v>1238</v>
      </c>
      <c r="L76" t="s">
        <v>495</v>
      </c>
      <c r="M76">
        <v>10.8029540999999</v>
      </c>
      <c r="N76">
        <v>106.7312266</v>
      </c>
      <c r="O76" t="s">
        <v>493</v>
      </c>
    </row>
    <row r="77" spans="1:15">
      <c r="A77" t="s">
        <v>500</v>
      </c>
      <c r="B77" t="s">
        <v>1127</v>
      </c>
      <c r="C77">
        <v>5</v>
      </c>
      <c r="D77">
        <v>63</v>
      </c>
      <c r="E77" t="s">
        <v>1142</v>
      </c>
      <c r="F77" t="s">
        <v>1160</v>
      </c>
      <c r="G77" t="s">
        <v>1181</v>
      </c>
      <c r="H77" t="s">
        <v>1179</v>
      </c>
      <c r="I77" t="s">
        <v>1180</v>
      </c>
      <c r="J77" t="s">
        <v>23</v>
      </c>
      <c r="K77" t="s">
        <v>1240</v>
      </c>
      <c r="L77" t="s">
        <v>501</v>
      </c>
      <c r="M77">
        <v>10.792175800000001</v>
      </c>
      <c r="N77">
        <v>106.745538</v>
      </c>
      <c r="O77" t="s">
        <v>499</v>
      </c>
    </row>
    <row r="78" spans="1:15">
      <c r="A78" t="s">
        <v>505</v>
      </c>
      <c r="B78" t="s">
        <v>1127</v>
      </c>
      <c r="C78">
        <v>4.8</v>
      </c>
      <c r="D78">
        <v>308</v>
      </c>
      <c r="E78" t="s">
        <v>1138</v>
      </c>
      <c r="F78" t="s">
        <v>1157</v>
      </c>
      <c r="G78" t="s">
        <v>1178</v>
      </c>
      <c r="H78" t="s">
        <v>1179</v>
      </c>
      <c r="I78" t="s">
        <v>1180</v>
      </c>
      <c r="J78" t="s">
        <v>35</v>
      </c>
      <c r="K78" t="s">
        <v>1240</v>
      </c>
      <c r="L78" t="s">
        <v>506</v>
      </c>
      <c r="M78">
        <v>10.8065373</v>
      </c>
      <c r="N78">
        <v>106.7308124</v>
      </c>
      <c r="O78" t="s">
        <v>504</v>
      </c>
    </row>
    <row r="79" spans="1:15">
      <c r="A79" t="s">
        <v>512</v>
      </c>
      <c r="B79" t="s">
        <v>1127</v>
      </c>
      <c r="C79">
        <v>5</v>
      </c>
      <c r="D79">
        <v>4</v>
      </c>
      <c r="E79" t="s">
        <v>1138</v>
      </c>
      <c r="F79" t="s">
        <v>1157</v>
      </c>
      <c r="G79" t="s">
        <v>1191</v>
      </c>
      <c r="H79" t="s">
        <v>1179</v>
      </c>
      <c r="I79" t="s">
        <v>1135</v>
      </c>
      <c r="J79" t="s">
        <v>1220</v>
      </c>
      <c r="K79" t="s">
        <v>1240</v>
      </c>
      <c r="L79" t="s">
        <v>513</v>
      </c>
      <c r="M79">
        <v>10.8030413</v>
      </c>
      <c r="N79">
        <v>106.7323303</v>
      </c>
      <c r="O79" t="s">
        <v>511</v>
      </c>
    </row>
    <row r="80" spans="1:15">
      <c r="A80" t="s">
        <v>517</v>
      </c>
      <c r="B80" t="s">
        <v>1127</v>
      </c>
      <c r="C80">
        <v>4.5999999999999996</v>
      </c>
      <c r="D80">
        <v>462</v>
      </c>
      <c r="E80" t="s">
        <v>1138</v>
      </c>
      <c r="F80" t="s">
        <v>1155</v>
      </c>
      <c r="G80" t="s">
        <v>1191</v>
      </c>
      <c r="H80" t="s">
        <v>1179</v>
      </c>
      <c r="I80" t="s">
        <v>1135</v>
      </c>
      <c r="J80" t="s">
        <v>1192</v>
      </c>
      <c r="K80" t="s">
        <v>1240</v>
      </c>
      <c r="L80" t="s">
        <v>518</v>
      </c>
      <c r="M80">
        <v>10.8038577999999</v>
      </c>
      <c r="N80">
        <v>106.728415299999</v>
      </c>
      <c r="O80" t="s">
        <v>516</v>
      </c>
    </row>
    <row r="81" spans="1:15">
      <c r="A81" t="s">
        <v>522</v>
      </c>
      <c r="B81" t="s">
        <v>1127</v>
      </c>
      <c r="C81">
        <v>4.5999999999999996</v>
      </c>
      <c r="D81">
        <v>28</v>
      </c>
      <c r="E81" t="s">
        <v>1157</v>
      </c>
      <c r="F81" t="s">
        <v>1157</v>
      </c>
      <c r="G81" t="s">
        <v>1178</v>
      </c>
      <c r="H81" t="s">
        <v>1198</v>
      </c>
      <c r="I81" t="s">
        <v>1180</v>
      </c>
      <c r="J81" t="s">
        <v>1203</v>
      </c>
      <c r="K81" t="s">
        <v>1236</v>
      </c>
      <c r="L81" t="s">
        <v>524</v>
      </c>
      <c r="M81">
        <v>10.801554400000001</v>
      </c>
      <c r="N81">
        <v>106.7293157</v>
      </c>
      <c r="O81" t="s">
        <v>521</v>
      </c>
    </row>
    <row r="82" spans="1:15">
      <c r="A82" t="s">
        <v>529</v>
      </c>
      <c r="B82" t="s">
        <v>1127</v>
      </c>
      <c r="C82">
        <v>4.5999999999999996</v>
      </c>
      <c r="D82">
        <v>1051</v>
      </c>
      <c r="E82" t="s">
        <v>1157</v>
      </c>
      <c r="F82" t="s">
        <v>1157</v>
      </c>
      <c r="G82" t="s">
        <v>1181</v>
      </c>
      <c r="H82" t="s">
        <v>1182</v>
      </c>
      <c r="I82" t="s">
        <v>1180</v>
      </c>
      <c r="J82" t="s">
        <v>1183</v>
      </c>
      <c r="K82" t="s">
        <v>1236</v>
      </c>
      <c r="L82" t="s">
        <v>533</v>
      </c>
      <c r="M82">
        <v>10.8032012</v>
      </c>
      <c r="N82">
        <v>106.73640450000001</v>
      </c>
      <c r="O82" t="s">
        <v>528</v>
      </c>
    </row>
    <row r="83" spans="1:15">
      <c r="A83" t="s">
        <v>540</v>
      </c>
      <c r="B83" t="s">
        <v>1127</v>
      </c>
      <c r="C83">
        <v>4.5</v>
      </c>
      <c r="D83">
        <v>78</v>
      </c>
      <c r="E83" t="s">
        <v>1142</v>
      </c>
      <c r="F83" t="s">
        <v>1157</v>
      </c>
      <c r="G83" t="s">
        <v>1181</v>
      </c>
      <c r="H83" t="s">
        <v>1179</v>
      </c>
      <c r="I83" t="s">
        <v>1180</v>
      </c>
      <c r="J83" t="s">
        <v>23</v>
      </c>
      <c r="K83" t="s">
        <v>1240</v>
      </c>
      <c r="L83" t="s">
        <v>541</v>
      </c>
      <c r="M83">
        <v>10.794017800000001</v>
      </c>
      <c r="N83">
        <v>106.741034</v>
      </c>
      <c r="O83" t="s">
        <v>539</v>
      </c>
    </row>
    <row r="84" spans="1:15">
      <c r="A84" t="s">
        <v>545</v>
      </c>
      <c r="B84" t="s">
        <v>1127</v>
      </c>
      <c r="C84">
        <v>4.8</v>
      </c>
      <c r="D84">
        <v>53</v>
      </c>
      <c r="E84" t="s">
        <v>1142</v>
      </c>
      <c r="F84" t="s">
        <v>1157</v>
      </c>
      <c r="G84" t="s">
        <v>1191</v>
      </c>
      <c r="H84" t="s">
        <v>1179</v>
      </c>
      <c r="I84" t="s">
        <v>1135</v>
      </c>
      <c r="J84" t="s">
        <v>1193</v>
      </c>
      <c r="K84" t="s">
        <v>1240</v>
      </c>
      <c r="L84" t="s">
        <v>547</v>
      </c>
      <c r="M84">
        <v>10.8041994999999</v>
      </c>
      <c r="N84">
        <v>106.7436151</v>
      </c>
      <c r="O84" t="s">
        <v>544</v>
      </c>
    </row>
    <row r="85" spans="1:15">
      <c r="A85" t="s">
        <v>552</v>
      </c>
      <c r="B85" t="s">
        <v>1127</v>
      </c>
      <c r="C85">
        <v>4.5999999999999996</v>
      </c>
      <c r="D85">
        <v>1504</v>
      </c>
      <c r="E85" t="s">
        <v>1157</v>
      </c>
      <c r="F85" t="s">
        <v>1155</v>
      </c>
      <c r="G85" t="s">
        <v>1191</v>
      </c>
      <c r="H85" t="s">
        <v>1179</v>
      </c>
      <c r="I85" t="s">
        <v>1135</v>
      </c>
      <c r="J85" t="s">
        <v>1215</v>
      </c>
      <c r="K85" t="s">
        <v>1240</v>
      </c>
      <c r="L85" t="s">
        <v>555</v>
      </c>
      <c r="M85">
        <v>10.804209500000001</v>
      </c>
      <c r="N85">
        <v>106.7440478</v>
      </c>
      <c r="O85" t="s">
        <v>551</v>
      </c>
    </row>
    <row r="86" spans="1:15">
      <c r="A86" t="s">
        <v>557</v>
      </c>
      <c r="B86" t="s">
        <v>1127</v>
      </c>
      <c r="C86">
        <v>4.8</v>
      </c>
      <c r="D86">
        <v>142</v>
      </c>
      <c r="E86" t="s">
        <v>1138</v>
      </c>
      <c r="F86" t="s">
        <v>1157</v>
      </c>
      <c r="G86" t="s">
        <v>1178</v>
      </c>
      <c r="H86" t="s">
        <v>1179</v>
      </c>
      <c r="I86" t="s">
        <v>1180</v>
      </c>
      <c r="J86" t="s">
        <v>1219</v>
      </c>
      <c r="K86" t="s">
        <v>1240</v>
      </c>
      <c r="L86" t="s">
        <v>558</v>
      </c>
      <c r="M86">
        <v>10.803062000000001</v>
      </c>
      <c r="N86">
        <v>106.7292159</v>
      </c>
      <c r="O86" t="s">
        <v>556</v>
      </c>
    </row>
    <row r="87" spans="1:15">
      <c r="A87" t="s">
        <v>564</v>
      </c>
      <c r="B87" t="s">
        <v>1127</v>
      </c>
      <c r="C87">
        <v>4.7</v>
      </c>
      <c r="D87">
        <v>828</v>
      </c>
      <c r="E87" t="s">
        <v>1138</v>
      </c>
      <c r="F87" t="s">
        <v>1155</v>
      </c>
      <c r="G87" t="s">
        <v>1191</v>
      </c>
      <c r="H87" t="s">
        <v>1179</v>
      </c>
      <c r="I87" t="s">
        <v>1135</v>
      </c>
      <c r="J87" t="s">
        <v>1215</v>
      </c>
      <c r="K87" t="s">
        <v>1240</v>
      </c>
      <c r="L87" t="s">
        <v>565</v>
      </c>
      <c r="M87">
        <v>10.80339</v>
      </c>
      <c r="N87">
        <v>106.7392438</v>
      </c>
      <c r="O87" t="s">
        <v>563</v>
      </c>
    </row>
    <row r="88" spans="1:15">
      <c r="A88" t="s">
        <v>570</v>
      </c>
      <c r="B88" t="s">
        <v>1127</v>
      </c>
      <c r="C88">
        <v>4</v>
      </c>
      <c r="D88">
        <v>870</v>
      </c>
      <c r="E88" t="s">
        <v>1138</v>
      </c>
      <c r="F88" t="s">
        <v>1157</v>
      </c>
      <c r="G88" t="s">
        <v>1187</v>
      </c>
      <c r="H88" t="s">
        <v>1182</v>
      </c>
      <c r="I88" t="s">
        <v>1180</v>
      </c>
      <c r="J88" t="s">
        <v>1188</v>
      </c>
      <c r="K88" t="s">
        <v>1236</v>
      </c>
      <c r="L88" t="s">
        <v>571</v>
      </c>
      <c r="M88">
        <v>10.791921500000001</v>
      </c>
      <c r="N88">
        <v>106.730317</v>
      </c>
      <c r="O88" t="s">
        <v>569</v>
      </c>
    </row>
    <row r="89" spans="1:15">
      <c r="A89" t="s">
        <v>576</v>
      </c>
      <c r="B89" t="s">
        <v>1127</v>
      </c>
      <c r="C89">
        <v>4.5</v>
      </c>
      <c r="D89">
        <v>27</v>
      </c>
      <c r="E89" t="s">
        <v>1157</v>
      </c>
      <c r="F89" t="s">
        <v>1157</v>
      </c>
      <c r="G89" t="s">
        <v>1181</v>
      </c>
      <c r="H89" t="s">
        <v>1198</v>
      </c>
      <c r="I89" t="s">
        <v>1180</v>
      </c>
      <c r="J89" t="s">
        <v>1202</v>
      </c>
      <c r="K89" t="s">
        <v>1236</v>
      </c>
      <c r="L89" t="s">
        <v>581</v>
      </c>
      <c r="M89">
        <v>10.789558400000001</v>
      </c>
      <c r="N89">
        <v>106.7436764</v>
      </c>
      <c r="O89" t="s">
        <v>575</v>
      </c>
    </row>
    <row r="90" spans="1:15">
      <c r="A90" t="s">
        <v>583</v>
      </c>
      <c r="B90" t="s">
        <v>1127</v>
      </c>
      <c r="C90">
        <v>4.8</v>
      </c>
      <c r="D90">
        <v>33</v>
      </c>
      <c r="E90" t="s">
        <v>1138</v>
      </c>
      <c r="F90" t="s">
        <v>1158</v>
      </c>
      <c r="G90" t="s">
        <v>1181</v>
      </c>
      <c r="H90" t="s">
        <v>1179</v>
      </c>
      <c r="I90" t="s">
        <v>1180</v>
      </c>
      <c r="J90" t="s">
        <v>255</v>
      </c>
      <c r="K90" t="s">
        <v>1240</v>
      </c>
      <c r="L90" t="s">
        <v>1161</v>
      </c>
      <c r="M90">
        <v>10.8044683</v>
      </c>
      <c r="N90">
        <v>106.739554799999</v>
      </c>
      <c r="O90" t="s">
        <v>582</v>
      </c>
    </row>
    <row r="91" spans="1:15">
      <c r="A91" t="s">
        <v>590</v>
      </c>
      <c r="B91" t="s">
        <v>1127</v>
      </c>
      <c r="C91">
        <v>4.5</v>
      </c>
      <c r="D91">
        <v>1219</v>
      </c>
      <c r="E91" t="s">
        <v>1138</v>
      </c>
      <c r="F91" t="s">
        <v>1158</v>
      </c>
      <c r="G91" t="s">
        <v>1189</v>
      </c>
      <c r="H91" t="s">
        <v>1179</v>
      </c>
      <c r="I91" t="s">
        <v>1180</v>
      </c>
      <c r="J91" t="s">
        <v>35</v>
      </c>
      <c r="K91" t="s">
        <v>1240</v>
      </c>
      <c r="L91" t="s">
        <v>591</v>
      </c>
      <c r="M91">
        <v>10.804198700000001</v>
      </c>
      <c r="N91">
        <v>106.73356680000001</v>
      </c>
      <c r="O91" t="s">
        <v>589</v>
      </c>
    </row>
    <row r="92" spans="1:15">
      <c r="A92" t="s">
        <v>600</v>
      </c>
      <c r="B92" t="s">
        <v>1127</v>
      </c>
      <c r="C92">
        <v>4.9000000000000004</v>
      </c>
      <c r="D92">
        <v>169</v>
      </c>
      <c r="E92" t="s">
        <v>1156</v>
      </c>
      <c r="F92" t="s">
        <v>1155</v>
      </c>
      <c r="G92" t="s">
        <v>1178</v>
      </c>
      <c r="H92" t="s">
        <v>1179</v>
      </c>
      <c r="I92" t="s">
        <v>1180</v>
      </c>
      <c r="J92" t="s">
        <v>1196</v>
      </c>
      <c r="K92" t="s">
        <v>1240</v>
      </c>
      <c r="L92" t="s">
        <v>601</v>
      </c>
      <c r="M92">
        <v>10.8060957</v>
      </c>
      <c r="N92">
        <v>106.7407594</v>
      </c>
      <c r="O92" t="s">
        <v>599</v>
      </c>
    </row>
    <row r="93" spans="1:15">
      <c r="A93" t="s">
        <v>605</v>
      </c>
      <c r="B93" t="s">
        <v>1127</v>
      </c>
      <c r="C93">
        <v>5</v>
      </c>
      <c r="D93">
        <v>167</v>
      </c>
      <c r="E93" t="s">
        <v>1142</v>
      </c>
      <c r="F93" t="s">
        <v>1155</v>
      </c>
      <c r="G93" t="s">
        <v>1187</v>
      </c>
      <c r="H93" t="s">
        <v>1182</v>
      </c>
      <c r="I93" t="s">
        <v>1180</v>
      </c>
      <c r="J93" t="s">
        <v>1188</v>
      </c>
      <c r="K93" t="s">
        <v>1236</v>
      </c>
      <c r="L93" t="s">
        <v>606</v>
      </c>
      <c r="M93">
        <v>10.8042184</v>
      </c>
      <c r="N93">
        <v>106.72858220000001</v>
      </c>
      <c r="O93" t="s">
        <v>604</v>
      </c>
    </row>
    <row r="94" spans="1:15">
      <c r="A94" t="s">
        <v>611</v>
      </c>
      <c r="B94" t="s">
        <v>1124</v>
      </c>
      <c r="C94">
        <v>4.5999999999999996</v>
      </c>
      <c r="D94">
        <v>55</v>
      </c>
      <c r="E94" t="s">
        <v>1142</v>
      </c>
      <c r="F94" t="s">
        <v>1155</v>
      </c>
      <c r="G94" t="s">
        <v>1178</v>
      </c>
      <c r="H94" t="s">
        <v>1198</v>
      </c>
      <c r="I94" t="s">
        <v>1180</v>
      </c>
      <c r="J94" t="s">
        <v>1203</v>
      </c>
      <c r="K94" t="s">
        <v>1236</v>
      </c>
      <c r="L94" t="s">
        <v>612</v>
      </c>
      <c r="M94">
        <v>10.788841100000001</v>
      </c>
      <c r="N94">
        <v>106.7150518</v>
      </c>
      <c r="O94" t="s">
        <v>610</v>
      </c>
    </row>
    <row r="95" spans="1:15">
      <c r="A95" t="s">
        <v>617</v>
      </c>
      <c r="B95" t="s">
        <v>1127</v>
      </c>
      <c r="C95">
        <v>4.9000000000000004</v>
      </c>
      <c r="D95">
        <v>1008</v>
      </c>
      <c r="E95" t="s">
        <v>1142</v>
      </c>
      <c r="F95" t="s">
        <v>1155</v>
      </c>
      <c r="G95" t="s">
        <v>1181</v>
      </c>
      <c r="H95" t="s">
        <v>1198</v>
      </c>
      <c r="I95" t="s">
        <v>1180</v>
      </c>
      <c r="J95" t="s">
        <v>1202</v>
      </c>
      <c r="K95" t="s">
        <v>1236</v>
      </c>
      <c r="L95" t="s">
        <v>620</v>
      </c>
      <c r="M95">
        <v>10.8086875</v>
      </c>
      <c r="N95">
        <v>106.7287477</v>
      </c>
      <c r="O95" t="s">
        <v>616</v>
      </c>
    </row>
    <row r="96" spans="1:15">
      <c r="A96" t="s">
        <v>622</v>
      </c>
      <c r="B96" t="s">
        <v>1127</v>
      </c>
      <c r="C96">
        <v>4.8</v>
      </c>
      <c r="D96">
        <v>135</v>
      </c>
      <c r="E96" t="s">
        <v>1138</v>
      </c>
      <c r="F96" t="s">
        <v>1155</v>
      </c>
      <c r="G96" t="s">
        <v>1178</v>
      </c>
      <c r="H96" t="s">
        <v>1179</v>
      </c>
      <c r="I96" t="s">
        <v>1180</v>
      </c>
      <c r="J96" t="s">
        <v>1219</v>
      </c>
      <c r="K96" t="s">
        <v>1240</v>
      </c>
      <c r="L96" t="s">
        <v>623</v>
      </c>
      <c r="M96">
        <v>10.8047387</v>
      </c>
      <c r="N96">
        <v>106.7285675</v>
      </c>
      <c r="O96" t="s">
        <v>621</v>
      </c>
    </row>
    <row r="97" spans="1:15">
      <c r="A97" t="s">
        <v>628</v>
      </c>
      <c r="B97" t="s">
        <v>1124</v>
      </c>
      <c r="C97">
        <v>5</v>
      </c>
      <c r="D97">
        <v>2</v>
      </c>
      <c r="E97" t="s">
        <v>1157</v>
      </c>
      <c r="F97" t="s">
        <v>1157</v>
      </c>
      <c r="G97" t="s">
        <v>1181</v>
      </c>
      <c r="H97" t="s">
        <v>1179</v>
      </c>
      <c r="I97" t="s">
        <v>1180</v>
      </c>
      <c r="J97" t="s">
        <v>23</v>
      </c>
      <c r="K97" t="s">
        <v>1237</v>
      </c>
      <c r="L97" t="s">
        <v>629</v>
      </c>
      <c r="M97">
        <v>10.7983324</v>
      </c>
      <c r="N97">
        <v>106.7131962</v>
      </c>
      <c r="O97" t="s">
        <v>627</v>
      </c>
    </row>
    <row r="98" spans="1:15">
      <c r="A98" t="s">
        <v>634</v>
      </c>
      <c r="B98" t="s">
        <v>1127</v>
      </c>
      <c r="C98">
        <v>4.5</v>
      </c>
      <c r="D98">
        <v>513</v>
      </c>
      <c r="E98" t="s">
        <v>1157</v>
      </c>
      <c r="F98" t="s">
        <v>1155</v>
      </c>
      <c r="G98" t="s">
        <v>1187</v>
      </c>
      <c r="H98" t="s">
        <v>1198</v>
      </c>
      <c r="I98" t="s">
        <v>1180</v>
      </c>
      <c r="J98" t="s">
        <v>1202</v>
      </c>
      <c r="K98" t="s">
        <v>1236</v>
      </c>
      <c r="L98" t="s">
        <v>635</v>
      </c>
      <c r="M98">
        <v>10.804266500000001</v>
      </c>
      <c r="N98">
        <v>106.744325399999</v>
      </c>
      <c r="O98" t="s">
        <v>633</v>
      </c>
    </row>
    <row r="99" spans="1:15">
      <c r="A99" t="s">
        <v>640</v>
      </c>
      <c r="B99" t="s">
        <v>1127</v>
      </c>
      <c r="C99">
        <v>4</v>
      </c>
      <c r="D99">
        <v>1</v>
      </c>
      <c r="E99" t="s">
        <v>1157</v>
      </c>
      <c r="F99" t="s">
        <v>1157</v>
      </c>
      <c r="G99" t="s">
        <v>1187</v>
      </c>
      <c r="H99" t="s">
        <v>1182</v>
      </c>
      <c r="I99" t="s">
        <v>1180</v>
      </c>
      <c r="J99" t="s">
        <v>1188</v>
      </c>
      <c r="K99" t="s">
        <v>1236</v>
      </c>
      <c r="L99" t="s">
        <v>641</v>
      </c>
      <c r="M99">
        <v>10.7942357</v>
      </c>
      <c r="N99">
        <v>106.7344837</v>
      </c>
      <c r="O99" t="s">
        <v>639</v>
      </c>
    </row>
    <row r="100" spans="1:15">
      <c r="A100" t="s">
        <v>645</v>
      </c>
      <c r="B100" t="s">
        <v>1127</v>
      </c>
      <c r="C100">
        <v>4.5999999999999996</v>
      </c>
      <c r="D100">
        <v>147</v>
      </c>
      <c r="E100" t="s">
        <v>1138</v>
      </c>
      <c r="F100" t="s">
        <v>1155</v>
      </c>
      <c r="G100" t="s">
        <v>1178</v>
      </c>
      <c r="H100" t="s">
        <v>1179</v>
      </c>
      <c r="I100" t="s">
        <v>1180</v>
      </c>
      <c r="J100" t="s">
        <v>1183</v>
      </c>
      <c r="K100" t="s">
        <v>1240</v>
      </c>
      <c r="L100" t="s">
        <v>646</v>
      </c>
      <c r="M100">
        <v>10.804643</v>
      </c>
      <c r="N100">
        <v>106.732175</v>
      </c>
      <c r="O100" t="s">
        <v>644</v>
      </c>
    </row>
    <row r="101" spans="1:15">
      <c r="A101" t="s">
        <v>650</v>
      </c>
      <c r="B101" t="s">
        <v>1127</v>
      </c>
      <c r="C101">
        <v>4</v>
      </c>
      <c r="D101">
        <v>124</v>
      </c>
      <c r="E101" t="s">
        <v>1142</v>
      </c>
      <c r="F101" t="s">
        <v>1155</v>
      </c>
      <c r="G101" t="s">
        <v>1178</v>
      </c>
      <c r="H101" t="s">
        <v>1182</v>
      </c>
      <c r="I101" t="s">
        <v>1180</v>
      </c>
      <c r="J101" t="s">
        <v>1188</v>
      </c>
      <c r="K101" t="s">
        <v>1236</v>
      </c>
      <c r="L101" t="s">
        <v>651</v>
      </c>
      <c r="M101">
        <v>10.8040027</v>
      </c>
      <c r="N101">
        <v>106.7309875</v>
      </c>
      <c r="O101" t="s">
        <v>649</v>
      </c>
    </row>
    <row r="102" spans="1:15">
      <c r="A102" t="s">
        <v>655</v>
      </c>
      <c r="B102" t="s">
        <v>1127</v>
      </c>
      <c r="C102">
        <v>4.5</v>
      </c>
      <c r="D102">
        <v>28</v>
      </c>
      <c r="E102" t="s">
        <v>1142</v>
      </c>
      <c r="F102" t="s">
        <v>1157</v>
      </c>
      <c r="G102" t="s">
        <v>1181</v>
      </c>
      <c r="H102" t="s">
        <v>1179</v>
      </c>
      <c r="I102" t="s">
        <v>1180</v>
      </c>
      <c r="J102" t="s">
        <v>23</v>
      </c>
      <c r="K102" t="s">
        <v>1240</v>
      </c>
      <c r="L102" t="s">
        <v>656</v>
      </c>
      <c r="M102">
        <v>10.806095600000001</v>
      </c>
      <c r="N102">
        <v>106.7510874</v>
      </c>
      <c r="O102" t="s">
        <v>654</v>
      </c>
    </row>
    <row r="103" spans="1:15">
      <c r="A103" t="s">
        <v>660</v>
      </c>
      <c r="B103" t="s">
        <v>1127</v>
      </c>
      <c r="C103">
        <v>4.9000000000000004</v>
      </c>
      <c r="D103">
        <v>19</v>
      </c>
      <c r="E103" t="s">
        <v>1157</v>
      </c>
      <c r="F103" t="s">
        <v>1155</v>
      </c>
      <c r="G103" t="s">
        <v>1178</v>
      </c>
      <c r="H103" t="s">
        <v>1179</v>
      </c>
      <c r="I103" t="s">
        <v>1180</v>
      </c>
      <c r="J103" t="s">
        <v>1219</v>
      </c>
      <c r="K103" t="s">
        <v>1240</v>
      </c>
      <c r="L103" t="s">
        <v>661</v>
      </c>
      <c r="M103">
        <v>10.8120476</v>
      </c>
      <c r="N103">
        <v>106.7348551</v>
      </c>
      <c r="O103" t="s">
        <v>659</v>
      </c>
    </row>
    <row r="104" spans="1:15">
      <c r="A104" t="s">
        <v>666</v>
      </c>
      <c r="B104" t="s">
        <v>1127</v>
      </c>
      <c r="C104">
        <v>4.8</v>
      </c>
      <c r="D104">
        <v>2258</v>
      </c>
      <c r="E104" t="s">
        <v>1156</v>
      </c>
      <c r="F104" t="s">
        <v>1158</v>
      </c>
      <c r="G104" t="s">
        <v>1181</v>
      </c>
      <c r="H104" t="s">
        <v>1179</v>
      </c>
      <c r="I104" t="s">
        <v>1180</v>
      </c>
      <c r="J104" t="s">
        <v>255</v>
      </c>
      <c r="K104" t="s">
        <v>1240</v>
      </c>
      <c r="L104" t="s">
        <v>669</v>
      </c>
      <c r="M104">
        <v>10.805527700000001</v>
      </c>
      <c r="N104">
        <v>106.73366300000001</v>
      </c>
      <c r="O104" t="s">
        <v>665</v>
      </c>
    </row>
    <row r="105" spans="1:15">
      <c r="A105" t="s">
        <v>671</v>
      </c>
      <c r="B105" t="s">
        <v>1127</v>
      </c>
      <c r="C105">
        <v>4.5</v>
      </c>
      <c r="D105">
        <v>59</v>
      </c>
      <c r="E105" t="s">
        <v>1142</v>
      </c>
      <c r="F105" t="s">
        <v>1155</v>
      </c>
      <c r="G105" t="s">
        <v>1181</v>
      </c>
      <c r="H105" t="s">
        <v>1179</v>
      </c>
      <c r="I105" t="s">
        <v>1180</v>
      </c>
      <c r="J105" t="s">
        <v>1208</v>
      </c>
      <c r="K105" t="s">
        <v>1240</v>
      </c>
      <c r="L105" t="s">
        <v>672</v>
      </c>
      <c r="M105">
        <v>10.803137</v>
      </c>
      <c r="N105">
        <v>106.736952</v>
      </c>
      <c r="O105" t="s">
        <v>670</v>
      </c>
    </row>
    <row r="106" spans="1:15">
      <c r="A106" t="s">
        <v>677</v>
      </c>
      <c r="B106" t="s">
        <v>1127</v>
      </c>
      <c r="C106">
        <v>4.8</v>
      </c>
      <c r="D106">
        <v>649</v>
      </c>
      <c r="E106" t="s">
        <v>1157</v>
      </c>
      <c r="F106" t="s">
        <v>1157</v>
      </c>
      <c r="G106" t="s">
        <v>1191</v>
      </c>
      <c r="H106" t="s">
        <v>1179</v>
      </c>
      <c r="I106" t="s">
        <v>1135</v>
      </c>
      <c r="J106" t="s">
        <v>1215</v>
      </c>
      <c r="K106" t="s">
        <v>1240</v>
      </c>
      <c r="L106" t="s">
        <v>681</v>
      </c>
      <c r="M106">
        <v>10.8035862</v>
      </c>
      <c r="N106">
        <v>106.72848260000001</v>
      </c>
      <c r="O106" t="s">
        <v>676</v>
      </c>
    </row>
    <row r="107" spans="1:15">
      <c r="A107" t="s">
        <v>683</v>
      </c>
      <c r="B107" t="s">
        <v>1127</v>
      </c>
      <c r="C107">
        <v>5</v>
      </c>
      <c r="D107">
        <v>2</v>
      </c>
      <c r="E107" t="s">
        <v>1157</v>
      </c>
      <c r="F107" t="s">
        <v>1157</v>
      </c>
      <c r="G107" t="s">
        <v>1187</v>
      </c>
      <c r="H107" t="s">
        <v>1182</v>
      </c>
      <c r="I107" t="s">
        <v>1180</v>
      </c>
      <c r="J107" t="s">
        <v>1188</v>
      </c>
      <c r="K107" t="s">
        <v>1236</v>
      </c>
      <c r="L107" t="s">
        <v>684</v>
      </c>
      <c r="M107">
        <v>10.7938659</v>
      </c>
      <c r="N107">
        <v>106.735180099999</v>
      </c>
      <c r="O107" t="s">
        <v>682</v>
      </c>
    </row>
    <row r="108" spans="1:15">
      <c r="A108" t="s">
        <v>688</v>
      </c>
      <c r="B108" t="s">
        <v>1124</v>
      </c>
      <c r="C108">
        <v>4.0999999999999996</v>
      </c>
      <c r="D108">
        <v>43</v>
      </c>
      <c r="E108" t="s">
        <v>1138</v>
      </c>
      <c r="F108" t="s">
        <v>1157</v>
      </c>
      <c r="G108" t="s">
        <v>1178</v>
      </c>
      <c r="H108" t="s">
        <v>1179</v>
      </c>
      <c r="I108" t="s">
        <v>1180</v>
      </c>
      <c r="J108" t="s">
        <v>1201</v>
      </c>
      <c r="K108" t="s">
        <v>1237</v>
      </c>
      <c r="L108" t="s">
        <v>689</v>
      </c>
      <c r="M108">
        <v>10.791938500000001</v>
      </c>
      <c r="N108">
        <v>106.7195364</v>
      </c>
      <c r="O108" t="s">
        <v>687</v>
      </c>
    </row>
    <row r="109" spans="1:15">
      <c r="A109" t="s">
        <v>694</v>
      </c>
      <c r="B109" t="s">
        <v>1127</v>
      </c>
      <c r="C109">
        <v>5</v>
      </c>
      <c r="D109">
        <v>10</v>
      </c>
      <c r="E109" t="s">
        <v>1138</v>
      </c>
      <c r="F109" t="s">
        <v>1155</v>
      </c>
      <c r="G109" t="s">
        <v>1181</v>
      </c>
      <c r="H109" t="s">
        <v>1179</v>
      </c>
      <c r="I109" t="s">
        <v>1180</v>
      </c>
      <c r="J109" t="s">
        <v>1208</v>
      </c>
      <c r="K109" t="s">
        <v>1240</v>
      </c>
      <c r="L109" t="s">
        <v>695</v>
      </c>
      <c r="M109">
        <v>10.8044683</v>
      </c>
      <c r="N109">
        <v>106.739554799999</v>
      </c>
      <c r="O109" t="s">
        <v>693</v>
      </c>
    </row>
    <row r="110" spans="1:15">
      <c r="A110" t="s">
        <v>699</v>
      </c>
      <c r="B110" t="s">
        <v>1123</v>
      </c>
      <c r="C110">
        <v>4.8</v>
      </c>
      <c r="D110">
        <v>124</v>
      </c>
      <c r="E110" t="s">
        <v>1138</v>
      </c>
      <c r="F110" t="s">
        <v>1157</v>
      </c>
      <c r="G110" t="s">
        <v>1181</v>
      </c>
      <c r="H110" t="s">
        <v>1179</v>
      </c>
      <c r="I110" t="s">
        <v>1180</v>
      </c>
      <c r="J110" t="s">
        <v>1184</v>
      </c>
      <c r="K110" t="s">
        <v>1235</v>
      </c>
      <c r="L110" t="s">
        <v>700</v>
      </c>
      <c r="M110">
        <v>10.768231</v>
      </c>
      <c r="N110">
        <v>106.693986</v>
      </c>
      <c r="O110" t="s">
        <v>698</v>
      </c>
    </row>
    <row r="111" spans="1:15">
      <c r="A111" t="s">
        <v>705</v>
      </c>
      <c r="B111" t="s">
        <v>1127</v>
      </c>
      <c r="C111">
        <v>4.5</v>
      </c>
      <c r="D111">
        <v>265</v>
      </c>
      <c r="E111" t="s">
        <v>1138</v>
      </c>
      <c r="F111" t="s">
        <v>1155</v>
      </c>
      <c r="G111" t="s">
        <v>1181</v>
      </c>
      <c r="H111" t="s">
        <v>1179</v>
      </c>
      <c r="I111" t="s">
        <v>1180</v>
      </c>
      <c r="J111" t="s">
        <v>23</v>
      </c>
      <c r="K111" t="s">
        <v>1240</v>
      </c>
      <c r="L111" t="s">
        <v>709</v>
      </c>
      <c r="M111">
        <v>10.8031576</v>
      </c>
      <c r="N111">
        <v>106.752121</v>
      </c>
      <c r="O111" t="s">
        <v>704</v>
      </c>
    </row>
    <row r="112" spans="1:15">
      <c r="A112" t="s">
        <v>717</v>
      </c>
      <c r="B112" t="s">
        <v>1127</v>
      </c>
      <c r="C112">
        <v>5</v>
      </c>
      <c r="D112">
        <v>1</v>
      </c>
      <c r="E112" t="s">
        <v>1157</v>
      </c>
      <c r="F112" t="s">
        <v>1157</v>
      </c>
      <c r="G112" t="s">
        <v>1189</v>
      </c>
      <c r="H112" t="s">
        <v>1182</v>
      </c>
      <c r="I112" t="s">
        <v>1180</v>
      </c>
      <c r="J112" t="s">
        <v>1188</v>
      </c>
      <c r="K112" t="s">
        <v>1239</v>
      </c>
      <c r="L112" t="s">
        <v>718</v>
      </c>
      <c r="M112">
        <v>10.8028134999999</v>
      </c>
      <c r="N112">
        <v>106.7304438</v>
      </c>
      <c r="O112" t="s">
        <v>716</v>
      </c>
    </row>
    <row r="113" spans="1:15">
      <c r="A113" t="s">
        <v>726</v>
      </c>
      <c r="B113" t="s">
        <v>1127</v>
      </c>
      <c r="C113">
        <v>4.5</v>
      </c>
      <c r="D113">
        <v>146</v>
      </c>
      <c r="E113" t="s">
        <v>1138</v>
      </c>
      <c r="F113" t="s">
        <v>1155</v>
      </c>
      <c r="G113" t="s">
        <v>1187</v>
      </c>
      <c r="H113" t="s">
        <v>1182</v>
      </c>
      <c r="I113" t="s">
        <v>1180</v>
      </c>
      <c r="J113" t="s">
        <v>1188</v>
      </c>
      <c r="K113" t="s">
        <v>1236</v>
      </c>
      <c r="L113" t="s">
        <v>727</v>
      </c>
      <c r="M113">
        <v>10.778975300000001</v>
      </c>
      <c r="N113">
        <v>106.71369660000001</v>
      </c>
      <c r="O113" t="s">
        <v>725</v>
      </c>
    </row>
    <row r="114" spans="1:15">
      <c r="A114" t="s">
        <v>732</v>
      </c>
      <c r="B114" t="s">
        <v>1123</v>
      </c>
      <c r="C114">
        <v>4.4000000000000004</v>
      </c>
      <c r="D114">
        <v>453</v>
      </c>
      <c r="E114" t="s">
        <v>1138</v>
      </c>
      <c r="F114" t="s">
        <v>1160</v>
      </c>
      <c r="G114" t="s">
        <v>1181</v>
      </c>
      <c r="H114" t="s">
        <v>1179</v>
      </c>
      <c r="I114" t="s">
        <v>1180</v>
      </c>
      <c r="J114" t="s">
        <v>23</v>
      </c>
      <c r="K114" t="s">
        <v>1235</v>
      </c>
      <c r="L114" t="s">
        <v>735</v>
      </c>
      <c r="M114">
        <v>10.7650755999999</v>
      </c>
      <c r="N114">
        <v>106.697378099999</v>
      </c>
      <c r="O114" t="s">
        <v>731</v>
      </c>
    </row>
    <row r="115" spans="1:15">
      <c r="A115" t="s">
        <v>737</v>
      </c>
      <c r="B115" t="s">
        <v>1127</v>
      </c>
      <c r="C115">
        <v>3.7</v>
      </c>
      <c r="D115">
        <v>28</v>
      </c>
      <c r="E115" t="s">
        <v>1142</v>
      </c>
      <c r="F115" t="s">
        <v>1157</v>
      </c>
      <c r="G115" t="s">
        <v>1187</v>
      </c>
      <c r="H115" t="s">
        <v>1182</v>
      </c>
      <c r="I115" t="s">
        <v>1180</v>
      </c>
      <c r="J115" t="s">
        <v>1188</v>
      </c>
      <c r="K115" t="s">
        <v>1236</v>
      </c>
      <c r="L115" t="s">
        <v>738</v>
      </c>
      <c r="M115">
        <v>10.788587700000001</v>
      </c>
      <c r="N115">
        <v>106.7301262</v>
      </c>
      <c r="O115" t="s">
        <v>736</v>
      </c>
    </row>
    <row r="116" spans="1:15">
      <c r="A116" t="s">
        <v>742</v>
      </c>
      <c r="B116" t="s">
        <v>1123</v>
      </c>
      <c r="C116">
        <v>4.8</v>
      </c>
      <c r="D116">
        <v>641</v>
      </c>
      <c r="E116" t="s">
        <v>1138</v>
      </c>
      <c r="F116" t="s">
        <v>1158</v>
      </c>
      <c r="G116" t="s">
        <v>1178</v>
      </c>
      <c r="H116" t="s">
        <v>1179</v>
      </c>
      <c r="I116" t="s">
        <v>1180</v>
      </c>
      <c r="J116" t="s">
        <v>35</v>
      </c>
      <c r="K116" t="s">
        <v>1235</v>
      </c>
      <c r="L116" t="s">
        <v>745</v>
      </c>
      <c r="M116">
        <v>10.7649171</v>
      </c>
      <c r="N116">
        <v>106.6947502</v>
      </c>
      <c r="O116" t="s">
        <v>741</v>
      </c>
    </row>
    <row r="117" spans="1:15">
      <c r="A117" t="s">
        <v>747</v>
      </c>
      <c r="B117" t="s">
        <v>1123</v>
      </c>
      <c r="C117">
        <v>4.7</v>
      </c>
      <c r="D117">
        <v>977</v>
      </c>
      <c r="E117" t="s">
        <v>1138</v>
      </c>
      <c r="F117" t="s">
        <v>1155</v>
      </c>
      <c r="G117" t="s">
        <v>1187</v>
      </c>
      <c r="H117" t="s">
        <v>1182</v>
      </c>
      <c r="I117" t="s">
        <v>1180</v>
      </c>
      <c r="J117" t="s">
        <v>1188</v>
      </c>
      <c r="K117" t="s">
        <v>1236</v>
      </c>
      <c r="L117" t="s">
        <v>751</v>
      </c>
      <c r="M117">
        <v>10.768589</v>
      </c>
      <c r="N117">
        <v>106.69807400000001</v>
      </c>
      <c r="O117" t="s">
        <v>746</v>
      </c>
    </row>
    <row r="118" spans="1:15">
      <c r="A118" t="s">
        <v>753</v>
      </c>
      <c r="B118" t="s">
        <v>1123</v>
      </c>
      <c r="C118">
        <v>4.9000000000000004</v>
      </c>
      <c r="D118">
        <v>11763</v>
      </c>
      <c r="E118" t="s">
        <v>1157</v>
      </c>
      <c r="F118" t="s">
        <v>1155</v>
      </c>
      <c r="G118" t="s">
        <v>1181</v>
      </c>
      <c r="H118" t="s">
        <v>1179</v>
      </c>
      <c r="I118" t="s">
        <v>1180</v>
      </c>
      <c r="J118" t="s">
        <v>23</v>
      </c>
      <c r="K118" t="s">
        <v>1235</v>
      </c>
      <c r="L118" t="s">
        <v>754</v>
      </c>
      <c r="M118">
        <v>10.7682442</v>
      </c>
      <c r="N118">
        <v>106.6936304</v>
      </c>
      <c r="O118" t="s">
        <v>752</v>
      </c>
    </row>
    <row r="119" spans="1:15">
      <c r="A119" t="s">
        <v>759</v>
      </c>
      <c r="B119" t="s">
        <v>1127</v>
      </c>
      <c r="C119">
        <v>4.5</v>
      </c>
      <c r="D119">
        <v>190</v>
      </c>
      <c r="E119" t="s">
        <v>1138</v>
      </c>
      <c r="F119" t="s">
        <v>1155</v>
      </c>
      <c r="G119" t="s">
        <v>1178</v>
      </c>
      <c r="H119" t="s">
        <v>1179</v>
      </c>
      <c r="I119" t="s">
        <v>1180</v>
      </c>
      <c r="J119" t="s">
        <v>1218</v>
      </c>
      <c r="K119" t="s">
        <v>1240</v>
      </c>
      <c r="L119" t="s">
        <v>763</v>
      </c>
      <c r="M119">
        <v>10.803716400000001</v>
      </c>
      <c r="N119">
        <v>106.7349952</v>
      </c>
      <c r="O119" t="s">
        <v>758</v>
      </c>
    </row>
    <row r="120" spans="1:15">
      <c r="A120" t="s">
        <v>765</v>
      </c>
      <c r="B120" t="s">
        <v>1124</v>
      </c>
      <c r="C120">
        <v>4.5</v>
      </c>
      <c r="D120">
        <v>68</v>
      </c>
      <c r="E120" t="s">
        <v>1142</v>
      </c>
      <c r="F120" t="s">
        <v>1155</v>
      </c>
      <c r="G120" t="s">
        <v>1187</v>
      </c>
      <c r="H120" t="s">
        <v>1198</v>
      </c>
      <c r="I120" t="s">
        <v>1180</v>
      </c>
      <c r="J120" t="s">
        <v>1202</v>
      </c>
      <c r="K120" t="s">
        <v>1236</v>
      </c>
      <c r="L120" t="s">
        <v>766</v>
      </c>
      <c r="M120">
        <v>10.803569400000001</v>
      </c>
      <c r="N120">
        <v>106.72105120000001</v>
      </c>
      <c r="O120" t="s">
        <v>764</v>
      </c>
    </row>
    <row r="121" spans="1:15">
      <c r="A121" t="s">
        <v>771</v>
      </c>
      <c r="B121" t="s">
        <v>1128</v>
      </c>
      <c r="C121">
        <v>5</v>
      </c>
      <c r="D121">
        <v>56</v>
      </c>
      <c r="E121" t="s">
        <v>1157</v>
      </c>
      <c r="F121" t="s">
        <v>1157</v>
      </c>
      <c r="G121" t="s">
        <v>1191</v>
      </c>
      <c r="H121" t="s">
        <v>1179</v>
      </c>
      <c r="I121" t="s">
        <v>1135</v>
      </c>
      <c r="J121" t="s">
        <v>1222</v>
      </c>
      <c r="K121" t="s">
        <v>1241</v>
      </c>
      <c r="L121" t="s">
        <v>772</v>
      </c>
      <c r="M121">
        <v>10.723496000000001</v>
      </c>
      <c r="N121">
        <v>106.7280633</v>
      </c>
      <c r="O121" t="s">
        <v>770</v>
      </c>
    </row>
    <row r="122" spans="1:15">
      <c r="A122" t="s">
        <v>776</v>
      </c>
      <c r="B122" t="s">
        <v>1128</v>
      </c>
      <c r="C122">
        <v>4.7</v>
      </c>
      <c r="D122">
        <v>312</v>
      </c>
      <c r="E122" t="s">
        <v>1138</v>
      </c>
      <c r="F122" t="s">
        <v>1157</v>
      </c>
      <c r="G122" t="s">
        <v>1178</v>
      </c>
      <c r="H122" t="s">
        <v>1179</v>
      </c>
      <c r="I122" t="s">
        <v>1180</v>
      </c>
      <c r="J122" t="s">
        <v>35</v>
      </c>
      <c r="K122" t="s">
        <v>1241</v>
      </c>
      <c r="L122" t="s">
        <v>772</v>
      </c>
      <c r="M122">
        <v>10.7234967999999</v>
      </c>
      <c r="N122">
        <v>106.7281066</v>
      </c>
      <c r="O122" t="s">
        <v>775</v>
      </c>
    </row>
    <row r="123" spans="1:15">
      <c r="A123" t="s">
        <v>781</v>
      </c>
      <c r="B123" t="s">
        <v>1128</v>
      </c>
      <c r="C123">
        <v>4.5</v>
      </c>
      <c r="D123">
        <v>738</v>
      </c>
      <c r="E123" t="s">
        <v>1156</v>
      </c>
      <c r="F123" t="s">
        <v>1157</v>
      </c>
      <c r="G123" t="s">
        <v>1191</v>
      </c>
      <c r="H123" t="s">
        <v>1179</v>
      </c>
      <c r="I123" t="s">
        <v>1135</v>
      </c>
      <c r="J123" t="s">
        <v>1194</v>
      </c>
      <c r="K123" t="s">
        <v>1241</v>
      </c>
      <c r="L123" t="s">
        <v>782</v>
      </c>
      <c r="M123">
        <v>10.7198048</v>
      </c>
      <c r="N123">
        <v>106.73119060000001</v>
      </c>
      <c r="O123" t="s">
        <v>780</v>
      </c>
    </row>
    <row r="124" spans="1:15">
      <c r="A124" t="s">
        <v>787</v>
      </c>
      <c r="B124" t="s">
        <v>1128</v>
      </c>
      <c r="C124">
        <v>4.5</v>
      </c>
      <c r="D124">
        <v>370</v>
      </c>
      <c r="E124" t="s">
        <v>1157</v>
      </c>
      <c r="F124" t="s">
        <v>1157</v>
      </c>
      <c r="G124" t="s">
        <v>1191</v>
      </c>
      <c r="H124" t="s">
        <v>1198</v>
      </c>
      <c r="I124" t="s">
        <v>1135</v>
      </c>
      <c r="J124" t="s">
        <v>1211</v>
      </c>
      <c r="K124" t="s">
        <v>1238</v>
      </c>
      <c r="L124" t="s">
        <v>788</v>
      </c>
      <c r="M124">
        <v>10.7275791999999</v>
      </c>
      <c r="N124">
        <v>106.7124718</v>
      </c>
      <c r="O124" t="s">
        <v>786</v>
      </c>
    </row>
    <row r="125" spans="1:15">
      <c r="A125" t="s">
        <v>794</v>
      </c>
      <c r="B125" t="s">
        <v>1128</v>
      </c>
      <c r="C125">
        <v>4.9000000000000004</v>
      </c>
      <c r="D125">
        <v>197</v>
      </c>
      <c r="E125" t="s">
        <v>1142</v>
      </c>
      <c r="F125" t="s">
        <v>1157</v>
      </c>
      <c r="G125" t="s">
        <v>1185</v>
      </c>
      <c r="H125" t="s">
        <v>1182</v>
      </c>
      <c r="I125" t="s">
        <v>1180</v>
      </c>
      <c r="J125" t="s">
        <v>1204</v>
      </c>
      <c r="K125" t="s">
        <v>1239</v>
      </c>
      <c r="L125" t="s">
        <v>795</v>
      </c>
      <c r="M125">
        <v>10.7502899</v>
      </c>
      <c r="N125">
        <v>106.73561340000001</v>
      </c>
      <c r="O125" t="s">
        <v>793</v>
      </c>
    </row>
    <row r="126" spans="1:15">
      <c r="A126" t="s">
        <v>801</v>
      </c>
      <c r="B126" t="s">
        <v>1128</v>
      </c>
      <c r="C126">
        <v>4.8</v>
      </c>
      <c r="D126">
        <v>659</v>
      </c>
      <c r="E126" t="s">
        <v>1138</v>
      </c>
      <c r="F126" t="s">
        <v>1157</v>
      </c>
      <c r="G126" t="s">
        <v>1191</v>
      </c>
      <c r="H126" t="s">
        <v>1198</v>
      </c>
      <c r="I126" t="s">
        <v>1135</v>
      </c>
      <c r="J126" t="s">
        <v>1199</v>
      </c>
      <c r="K126" t="s">
        <v>1238</v>
      </c>
      <c r="L126" t="s">
        <v>804</v>
      </c>
      <c r="M126">
        <v>10.7224109999999</v>
      </c>
      <c r="N126">
        <v>106.7124706</v>
      </c>
      <c r="O126" t="s">
        <v>800</v>
      </c>
    </row>
    <row r="127" spans="1:15">
      <c r="A127" t="s">
        <v>806</v>
      </c>
      <c r="B127" t="s">
        <v>1128</v>
      </c>
      <c r="C127">
        <v>4.7</v>
      </c>
      <c r="D127">
        <v>252</v>
      </c>
      <c r="E127" t="s">
        <v>1138</v>
      </c>
      <c r="F127" t="s">
        <v>1155</v>
      </c>
      <c r="G127" t="s">
        <v>1181</v>
      </c>
      <c r="H127" t="s">
        <v>1179</v>
      </c>
      <c r="I127" t="s">
        <v>1180</v>
      </c>
      <c r="J127" t="s">
        <v>23</v>
      </c>
      <c r="K127" t="s">
        <v>1241</v>
      </c>
      <c r="L127" t="s">
        <v>809</v>
      </c>
      <c r="M127">
        <v>10.7300533999999</v>
      </c>
      <c r="N127">
        <v>106.7094791</v>
      </c>
      <c r="O127" t="s">
        <v>805</v>
      </c>
    </row>
    <row r="128" spans="1:15">
      <c r="A128" t="s">
        <v>811</v>
      </c>
      <c r="B128" t="s">
        <v>1128</v>
      </c>
      <c r="C128">
        <v>4.9000000000000004</v>
      </c>
      <c r="D128">
        <v>767</v>
      </c>
      <c r="E128" t="s">
        <v>1157</v>
      </c>
      <c r="F128" t="s">
        <v>1155</v>
      </c>
      <c r="G128" t="s">
        <v>1181</v>
      </c>
      <c r="H128" t="s">
        <v>1198</v>
      </c>
      <c r="I128" t="s">
        <v>1180</v>
      </c>
      <c r="J128" t="s">
        <v>1188</v>
      </c>
      <c r="K128" t="s">
        <v>1236</v>
      </c>
      <c r="L128" t="s">
        <v>812</v>
      </c>
      <c r="M128">
        <v>10.7280502</v>
      </c>
      <c r="N128">
        <v>106.7103638</v>
      </c>
      <c r="O128" t="s">
        <v>810</v>
      </c>
    </row>
    <row r="129" spans="1:15">
      <c r="A129" t="s">
        <v>816</v>
      </c>
      <c r="B129" t="s">
        <v>1128</v>
      </c>
      <c r="C129">
        <v>4.5999999999999996</v>
      </c>
      <c r="D129">
        <v>420</v>
      </c>
      <c r="E129" t="s">
        <v>1138</v>
      </c>
      <c r="F129" t="s">
        <v>1155</v>
      </c>
      <c r="G129" t="s">
        <v>1178</v>
      </c>
      <c r="H129" t="s">
        <v>1198</v>
      </c>
      <c r="I129" t="s">
        <v>1180</v>
      </c>
      <c r="J129" t="s">
        <v>1203</v>
      </c>
      <c r="K129" t="s">
        <v>1236</v>
      </c>
      <c r="L129" t="s">
        <v>817</v>
      </c>
      <c r="M129">
        <v>10.733912500000001</v>
      </c>
      <c r="N129">
        <v>106.702022799999</v>
      </c>
      <c r="O129" t="s">
        <v>815</v>
      </c>
    </row>
    <row r="130" spans="1:15">
      <c r="A130" t="s">
        <v>822</v>
      </c>
      <c r="B130" t="s">
        <v>1128</v>
      </c>
      <c r="C130">
        <v>5</v>
      </c>
      <c r="D130">
        <v>6</v>
      </c>
      <c r="E130" t="s">
        <v>1157</v>
      </c>
      <c r="F130" t="s">
        <v>1157</v>
      </c>
      <c r="G130" t="s">
        <v>1181</v>
      </c>
      <c r="H130" t="s">
        <v>1179</v>
      </c>
      <c r="I130" t="s">
        <v>1180</v>
      </c>
      <c r="J130" t="s">
        <v>23</v>
      </c>
      <c r="K130" t="s">
        <v>1241</v>
      </c>
      <c r="L130" t="s">
        <v>823</v>
      </c>
      <c r="M130">
        <v>10.733362700000001</v>
      </c>
      <c r="N130">
        <v>106.7068561</v>
      </c>
      <c r="O130" t="s">
        <v>821</v>
      </c>
    </row>
    <row r="131" spans="1:15">
      <c r="A131" t="s">
        <v>827</v>
      </c>
      <c r="B131" t="s">
        <v>1128</v>
      </c>
      <c r="C131">
        <v>4.5999999999999996</v>
      </c>
      <c r="D131">
        <v>10</v>
      </c>
      <c r="E131" t="s">
        <v>1157</v>
      </c>
      <c r="F131" t="s">
        <v>1157</v>
      </c>
      <c r="G131" t="s">
        <v>1189</v>
      </c>
      <c r="H131" t="s">
        <v>1182</v>
      </c>
      <c r="I131" t="s">
        <v>1180</v>
      </c>
      <c r="J131" t="s">
        <v>1188</v>
      </c>
      <c r="K131" t="s">
        <v>1239</v>
      </c>
      <c r="L131" t="s">
        <v>830</v>
      </c>
      <c r="M131">
        <v>10.7045066</v>
      </c>
      <c r="N131">
        <v>106.7360413</v>
      </c>
      <c r="O131" t="s">
        <v>826</v>
      </c>
    </row>
    <row r="132" spans="1:15">
      <c r="A132" t="s">
        <v>832</v>
      </c>
      <c r="B132" t="s">
        <v>1128</v>
      </c>
      <c r="C132">
        <v>4.9000000000000004</v>
      </c>
      <c r="D132">
        <v>53</v>
      </c>
      <c r="E132" t="s">
        <v>1142</v>
      </c>
      <c r="F132" t="s">
        <v>1157</v>
      </c>
      <c r="G132" t="s">
        <v>1187</v>
      </c>
      <c r="H132" t="s">
        <v>1182</v>
      </c>
      <c r="I132" t="s">
        <v>1180</v>
      </c>
      <c r="J132" t="s">
        <v>1188</v>
      </c>
      <c r="K132" t="s">
        <v>1236</v>
      </c>
      <c r="L132" t="s">
        <v>833</v>
      </c>
      <c r="M132">
        <v>10.751741300000001</v>
      </c>
      <c r="N132">
        <v>106.7139471</v>
      </c>
      <c r="O132" t="s">
        <v>831</v>
      </c>
    </row>
    <row r="133" spans="1:15">
      <c r="A133" t="s">
        <v>838</v>
      </c>
      <c r="B133" t="s">
        <v>1128</v>
      </c>
      <c r="C133">
        <v>4.9000000000000004</v>
      </c>
      <c r="D133">
        <v>53</v>
      </c>
      <c r="E133" t="s">
        <v>1142</v>
      </c>
      <c r="F133" t="s">
        <v>1157</v>
      </c>
      <c r="G133" t="s">
        <v>1187</v>
      </c>
      <c r="H133" t="s">
        <v>1182</v>
      </c>
      <c r="I133" t="s">
        <v>1180</v>
      </c>
      <c r="J133" t="s">
        <v>1188</v>
      </c>
      <c r="K133" t="s">
        <v>1236</v>
      </c>
      <c r="L133" t="s">
        <v>839</v>
      </c>
      <c r="M133">
        <v>10.7516213</v>
      </c>
      <c r="N133">
        <v>106.7081845</v>
      </c>
      <c r="O133" t="s">
        <v>837</v>
      </c>
    </row>
    <row r="134" spans="1:15">
      <c r="A134" t="s">
        <v>849</v>
      </c>
      <c r="B134" t="s">
        <v>1128</v>
      </c>
      <c r="C134">
        <v>4.7</v>
      </c>
      <c r="D134">
        <v>38</v>
      </c>
      <c r="E134" t="s">
        <v>1142</v>
      </c>
      <c r="F134" t="s">
        <v>1157</v>
      </c>
      <c r="G134" t="s">
        <v>1187</v>
      </c>
      <c r="H134" t="s">
        <v>1182</v>
      </c>
      <c r="I134" t="s">
        <v>1180</v>
      </c>
      <c r="J134" t="s">
        <v>1188</v>
      </c>
      <c r="K134" t="s">
        <v>1236</v>
      </c>
      <c r="L134" t="s">
        <v>850</v>
      </c>
      <c r="M134">
        <v>10.7399270999999</v>
      </c>
      <c r="N134">
        <v>106.710492599999</v>
      </c>
      <c r="O134" t="s">
        <v>848</v>
      </c>
    </row>
    <row r="135" spans="1:15">
      <c r="A135" t="s">
        <v>860</v>
      </c>
      <c r="B135" t="s">
        <v>1128</v>
      </c>
      <c r="C135">
        <v>4.9000000000000004</v>
      </c>
      <c r="D135">
        <v>686</v>
      </c>
      <c r="E135" t="s">
        <v>1138</v>
      </c>
      <c r="F135" t="s">
        <v>1158</v>
      </c>
      <c r="G135" t="s">
        <v>1178</v>
      </c>
      <c r="H135" t="s">
        <v>1198</v>
      </c>
      <c r="I135" t="s">
        <v>1180</v>
      </c>
      <c r="J135" t="s">
        <v>1221</v>
      </c>
      <c r="K135" t="s">
        <v>1236</v>
      </c>
      <c r="L135" t="s">
        <v>861</v>
      </c>
      <c r="M135">
        <v>10.749494800000001</v>
      </c>
      <c r="N135">
        <v>106.705026399999</v>
      </c>
      <c r="O135" t="s">
        <v>859</v>
      </c>
    </row>
    <row r="136" spans="1:15">
      <c r="A136" t="s">
        <v>866</v>
      </c>
      <c r="B136" t="s">
        <v>1128</v>
      </c>
      <c r="C136">
        <v>5</v>
      </c>
      <c r="D136">
        <v>2</v>
      </c>
      <c r="E136" t="s">
        <v>1157</v>
      </c>
      <c r="F136" t="s">
        <v>1157</v>
      </c>
      <c r="G136" t="s">
        <v>1189</v>
      </c>
      <c r="H136" t="s">
        <v>1182</v>
      </c>
      <c r="I136" t="s">
        <v>1180</v>
      </c>
      <c r="J136" t="s">
        <v>1188</v>
      </c>
      <c r="K136" t="s">
        <v>1239</v>
      </c>
      <c r="L136" t="s">
        <v>867</v>
      </c>
      <c r="M136">
        <v>10.7380213</v>
      </c>
      <c r="N136">
        <v>106.7304498</v>
      </c>
      <c r="O136" t="s">
        <v>865</v>
      </c>
    </row>
    <row r="137" spans="1:15">
      <c r="A137" t="s">
        <v>872</v>
      </c>
      <c r="B137" t="s">
        <v>1128</v>
      </c>
      <c r="C137">
        <v>4.2</v>
      </c>
      <c r="D137">
        <v>276</v>
      </c>
      <c r="E137" t="s">
        <v>1138</v>
      </c>
      <c r="F137" t="s">
        <v>1155</v>
      </c>
      <c r="G137" t="s">
        <v>1178</v>
      </c>
      <c r="H137" t="s">
        <v>1198</v>
      </c>
      <c r="I137" t="s">
        <v>1180</v>
      </c>
      <c r="J137" t="s">
        <v>1203</v>
      </c>
      <c r="K137" t="s">
        <v>1236</v>
      </c>
      <c r="L137" t="s">
        <v>877</v>
      </c>
      <c r="M137">
        <v>10.7180447999999</v>
      </c>
      <c r="N137">
        <v>106.7297147</v>
      </c>
      <c r="O137" t="s">
        <v>871</v>
      </c>
    </row>
    <row r="138" spans="1:15">
      <c r="A138" t="s">
        <v>879</v>
      </c>
      <c r="B138" t="s">
        <v>1128</v>
      </c>
      <c r="C138">
        <v>4.7</v>
      </c>
      <c r="D138">
        <v>226</v>
      </c>
      <c r="E138" t="s">
        <v>1156</v>
      </c>
      <c r="F138" t="s">
        <v>1155</v>
      </c>
      <c r="G138" t="s">
        <v>1178</v>
      </c>
      <c r="H138" t="s">
        <v>1179</v>
      </c>
      <c r="I138" t="s">
        <v>1180</v>
      </c>
      <c r="J138" t="s">
        <v>1219</v>
      </c>
      <c r="K138" t="s">
        <v>1241</v>
      </c>
      <c r="L138" t="s">
        <v>880</v>
      </c>
      <c r="M138">
        <v>10.720801700000001</v>
      </c>
      <c r="N138">
        <v>106.7272066</v>
      </c>
      <c r="O138" t="s">
        <v>878</v>
      </c>
    </row>
    <row r="139" spans="1:15">
      <c r="A139" t="s">
        <v>884</v>
      </c>
      <c r="B139" t="s">
        <v>1123</v>
      </c>
      <c r="C139">
        <v>4.7</v>
      </c>
      <c r="D139">
        <v>133</v>
      </c>
      <c r="E139" t="s">
        <v>1138</v>
      </c>
      <c r="F139" t="s">
        <v>1155</v>
      </c>
      <c r="G139" t="s">
        <v>1187</v>
      </c>
      <c r="H139" t="s">
        <v>1198</v>
      </c>
      <c r="I139" t="s">
        <v>1180</v>
      </c>
      <c r="J139" t="s">
        <v>1202</v>
      </c>
      <c r="K139" t="s">
        <v>1236</v>
      </c>
      <c r="L139" t="s">
        <v>885</v>
      </c>
      <c r="M139">
        <v>10.7850596</v>
      </c>
      <c r="N139">
        <v>106.700441</v>
      </c>
      <c r="O139" t="s">
        <v>883</v>
      </c>
    </row>
    <row r="140" spans="1:15">
      <c r="A140" t="s">
        <v>889</v>
      </c>
      <c r="B140" t="s">
        <v>1123</v>
      </c>
      <c r="C140">
        <v>4.9000000000000004</v>
      </c>
      <c r="D140">
        <v>15</v>
      </c>
      <c r="E140" t="s">
        <v>1142</v>
      </c>
      <c r="F140" t="s">
        <v>1158</v>
      </c>
      <c r="G140" t="s">
        <v>1187</v>
      </c>
      <c r="H140" t="s">
        <v>1182</v>
      </c>
      <c r="I140" t="s">
        <v>1180</v>
      </c>
      <c r="J140" t="s">
        <v>1188</v>
      </c>
      <c r="K140" t="s">
        <v>1236</v>
      </c>
      <c r="L140" t="s">
        <v>890</v>
      </c>
      <c r="M140">
        <v>10.7882260999999</v>
      </c>
      <c r="N140">
        <v>106.6965514</v>
      </c>
      <c r="O140" t="s">
        <v>888</v>
      </c>
    </row>
    <row r="141" spans="1:15">
      <c r="A141" t="s">
        <v>893</v>
      </c>
      <c r="B141" t="s">
        <v>1125</v>
      </c>
      <c r="C141">
        <v>4.8</v>
      </c>
      <c r="D141">
        <v>136</v>
      </c>
      <c r="E141" t="s">
        <v>1157</v>
      </c>
      <c r="F141" t="s">
        <v>1158</v>
      </c>
      <c r="G141" t="s">
        <v>1181</v>
      </c>
      <c r="H141" t="s">
        <v>1182</v>
      </c>
      <c r="I141" t="s">
        <v>1180</v>
      </c>
      <c r="J141" t="s">
        <v>1183</v>
      </c>
      <c r="K141" t="s">
        <v>1236</v>
      </c>
      <c r="L141" t="s">
        <v>895</v>
      </c>
      <c r="M141">
        <v>10.791629800000001</v>
      </c>
      <c r="N141">
        <v>106.6902393</v>
      </c>
      <c r="O141" t="s">
        <v>892</v>
      </c>
    </row>
    <row r="142" spans="1:15">
      <c r="A142" t="s">
        <v>899</v>
      </c>
      <c r="B142" t="s">
        <v>1123</v>
      </c>
      <c r="C142">
        <v>4.0999999999999996</v>
      </c>
      <c r="D142">
        <v>104</v>
      </c>
      <c r="E142" t="s">
        <v>1142</v>
      </c>
      <c r="F142" t="s">
        <v>1157</v>
      </c>
      <c r="G142" t="s">
        <v>1178</v>
      </c>
      <c r="H142" t="s">
        <v>1182</v>
      </c>
      <c r="I142" t="s">
        <v>1180</v>
      </c>
      <c r="J142" t="s">
        <v>1188</v>
      </c>
      <c r="K142" t="s">
        <v>1236</v>
      </c>
      <c r="L142" t="s">
        <v>900</v>
      </c>
      <c r="M142">
        <v>10.790853800000001</v>
      </c>
      <c r="N142">
        <v>106.6968248</v>
      </c>
      <c r="O142" t="s">
        <v>898</v>
      </c>
    </row>
    <row r="143" spans="1:15">
      <c r="A143" t="s">
        <v>904</v>
      </c>
      <c r="B143" t="s">
        <v>1123</v>
      </c>
      <c r="C143">
        <v>4.3</v>
      </c>
      <c r="D143">
        <v>642</v>
      </c>
      <c r="E143" t="s">
        <v>1138</v>
      </c>
      <c r="F143" t="s">
        <v>1155</v>
      </c>
      <c r="G143" t="s">
        <v>1185</v>
      </c>
      <c r="H143" t="s">
        <v>1179</v>
      </c>
      <c r="I143" t="s">
        <v>1180</v>
      </c>
      <c r="J143" t="s">
        <v>1200</v>
      </c>
      <c r="K143" t="s">
        <v>1235</v>
      </c>
      <c r="L143" t="s">
        <v>905</v>
      </c>
      <c r="M143">
        <v>10.7871203999999</v>
      </c>
      <c r="N143">
        <v>106.696053199999</v>
      </c>
      <c r="O143" t="s">
        <v>903</v>
      </c>
    </row>
    <row r="144" spans="1:15">
      <c r="A144" t="s">
        <v>909</v>
      </c>
      <c r="B144" t="s">
        <v>1123</v>
      </c>
      <c r="C144">
        <v>4.3</v>
      </c>
      <c r="D144">
        <v>916</v>
      </c>
      <c r="E144" t="s">
        <v>1157</v>
      </c>
      <c r="F144" t="s">
        <v>1158</v>
      </c>
      <c r="G144" t="s">
        <v>1181</v>
      </c>
      <c r="H144" t="s">
        <v>1179</v>
      </c>
      <c r="I144" t="s">
        <v>1180</v>
      </c>
      <c r="J144" t="s">
        <v>1195</v>
      </c>
      <c r="K144" t="s">
        <v>1235</v>
      </c>
      <c r="L144" t="s">
        <v>910</v>
      </c>
      <c r="M144">
        <v>10.785833800000001</v>
      </c>
      <c r="N144">
        <v>106.6942744</v>
      </c>
      <c r="O144" t="s">
        <v>908</v>
      </c>
    </row>
    <row r="145" spans="1:15">
      <c r="A145" t="s">
        <v>915</v>
      </c>
      <c r="B145" t="s">
        <v>1123</v>
      </c>
      <c r="C145">
        <v>4.2</v>
      </c>
      <c r="D145">
        <v>6</v>
      </c>
      <c r="E145" t="s">
        <v>1142</v>
      </c>
      <c r="F145" t="s">
        <v>1157</v>
      </c>
      <c r="G145" t="s">
        <v>1187</v>
      </c>
      <c r="H145" t="s">
        <v>1182</v>
      </c>
      <c r="I145" t="s">
        <v>1180</v>
      </c>
      <c r="J145" t="s">
        <v>1188</v>
      </c>
      <c r="K145" t="s">
        <v>1236</v>
      </c>
      <c r="L145" t="s">
        <v>916</v>
      </c>
      <c r="M145">
        <v>10.7904632</v>
      </c>
      <c r="N145">
        <v>106.6906548</v>
      </c>
      <c r="O145" t="s">
        <v>914</v>
      </c>
    </row>
    <row r="146" spans="1:15">
      <c r="A146" t="s">
        <v>920</v>
      </c>
      <c r="B146" t="s">
        <v>1123</v>
      </c>
      <c r="C146">
        <v>4.0999999999999996</v>
      </c>
      <c r="D146">
        <v>32</v>
      </c>
      <c r="E146" t="s">
        <v>1157</v>
      </c>
      <c r="F146" t="s">
        <v>1157</v>
      </c>
      <c r="G146" t="s">
        <v>1189</v>
      </c>
      <c r="H146" t="s">
        <v>1182</v>
      </c>
      <c r="I146" t="s">
        <v>1180</v>
      </c>
      <c r="J146" t="s">
        <v>1207</v>
      </c>
      <c r="K146" t="s">
        <v>1239</v>
      </c>
      <c r="L146" t="s">
        <v>921</v>
      </c>
      <c r="M146">
        <v>10.791911900000001</v>
      </c>
      <c r="N146">
        <v>106.7002651</v>
      </c>
      <c r="O146" t="s">
        <v>919</v>
      </c>
    </row>
    <row r="147" spans="1:15">
      <c r="A147" t="s">
        <v>925</v>
      </c>
      <c r="B147" t="s">
        <v>1123</v>
      </c>
      <c r="C147">
        <v>3</v>
      </c>
      <c r="D147">
        <v>2</v>
      </c>
      <c r="E147" t="s">
        <v>1157</v>
      </c>
      <c r="F147" t="s">
        <v>1157</v>
      </c>
      <c r="G147" t="s">
        <v>1189</v>
      </c>
      <c r="H147" t="s">
        <v>1182</v>
      </c>
      <c r="I147" t="s">
        <v>1180</v>
      </c>
      <c r="J147" t="s">
        <v>1208</v>
      </c>
      <c r="K147" t="s">
        <v>1236</v>
      </c>
      <c r="L147" t="s">
        <v>926</v>
      </c>
      <c r="M147">
        <v>10.7879877</v>
      </c>
      <c r="N147">
        <v>106.7026631</v>
      </c>
      <c r="O147" t="s">
        <v>924</v>
      </c>
    </row>
    <row r="148" spans="1:15">
      <c r="A148" t="s">
        <v>929</v>
      </c>
      <c r="B148" t="s">
        <v>1123</v>
      </c>
      <c r="C148">
        <v>4</v>
      </c>
      <c r="D148">
        <v>10</v>
      </c>
      <c r="E148" t="s">
        <v>1157</v>
      </c>
      <c r="F148" t="s">
        <v>1157</v>
      </c>
      <c r="G148" t="s">
        <v>1189</v>
      </c>
      <c r="H148" t="s">
        <v>1182</v>
      </c>
      <c r="I148" t="s">
        <v>1180</v>
      </c>
      <c r="J148" t="s">
        <v>1207</v>
      </c>
      <c r="K148" t="s">
        <v>1239</v>
      </c>
      <c r="L148" t="s">
        <v>930</v>
      </c>
      <c r="M148">
        <v>10.7924606</v>
      </c>
      <c r="N148">
        <v>106.691392699999</v>
      </c>
      <c r="O148" t="s">
        <v>928</v>
      </c>
    </row>
    <row r="149" spans="1:15">
      <c r="A149" t="s">
        <v>934</v>
      </c>
      <c r="B149" t="s">
        <v>1125</v>
      </c>
      <c r="C149">
        <v>3</v>
      </c>
      <c r="D149">
        <v>1</v>
      </c>
      <c r="E149" t="s">
        <v>1157</v>
      </c>
      <c r="F149" t="s">
        <v>1155</v>
      </c>
      <c r="G149" t="s">
        <v>1187</v>
      </c>
      <c r="H149" t="s">
        <v>1182</v>
      </c>
      <c r="I149" t="s">
        <v>1180</v>
      </c>
      <c r="J149" t="s">
        <v>1188</v>
      </c>
      <c r="K149" t="s">
        <v>1236</v>
      </c>
      <c r="L149" t="s">
        <v>935</v>
      </c>
      <c r="M149">
        <v>10.7910565999999</v>
      </c>
      <c r="N149">
        <v>106.6937269</v>
      </c>
      <c r="O149" t="s">
        <v>933</v>
      </c>
    </row>
    <row r="150" spans="1:15">
      <c r="A150" t="s">
        <v>938</v>
      </c>
      <c r="B150" t="s">
        <v>1123</v>
      </c>
      <c r="C150">
        <v>4.5999999999999996</v>
      </c>
      <c r="D150">
        <v>46</v>
      </c>
      <c r="E150" t="s">
        <v>1157</v>
      </c>
      <c r="F150" t="s">
        <v>1157</v>
      </c>
      <c r="G150" t="s">
        <v>1187</v>
      </c>
      <c r="H150" t="s">
        <v>1182</v>
      </c>
      <c r="I150" t="s">
        <v>1180</v>
      </c>
      <c r="J150" t="s">
        <v>1188</v>
      </c>
      <c r="K150" t="s">
        <v>1236</v>
      </c>
      <c r="L150" t="s">
        <v>939</v>
      </c>
      <c r="M150">
        <v>10.786090700000001</v>
      </c>
      <c r="N150">
        <v>106.6990476</v>
      </c>
      <c r="O150" t="s">
        <v>937</v>
      </c>
    </row>
    <row r="151" spans="1:15">
      <c r="A151" t="s">
        <v>942</v>
      </c>
      <c r="B151" t="s">
        <v>1123</v>
      </c>
      <c r="C151">
        <v>4.8</v>
      </c>
      <c r="D151">
        <v>26</v>
      </c>
      <c r="E151" t="s">
        <v>1142</v>
      </c>
      <c r="F151" t="s">
        <v>1157</v>
      </c>
      <c r="G151" t="s">
        <v>1185</v>
      </c>
      <c r="H151" t="s">
        <v>1198</v>
      </c>
      <c r="I151" t="s">
        <v>1180</v>
      </c>
      <c r="J151" t="s">
        <v>1206</v>
      </c>
      <c r="K151" t="s">
        <v>1239</v>
      </c>
      <c r="L151" t="s">
        <v>943</v>
      </c>
      <c r="M151">
        <v>10.7876178</v>
      </c>
      <c r="N151">
        <v>106.702848</v>
      </c>
      <c r="O151" t="s">
        <v>941</v>
      </c>
    </row>
    <row r="152" spans="1:15">
      <c r="A152" t="s">
        <v>947</v>
      </c>
      <c r="B152" t="s">
        <v>1123</v>
      </c>
      <c r="C152">
        <v>5</v>
      </c>
      <c r="D152">
        <v>18</v>
      </c>
      <c r="E152" t="s">
        <v>1157</v>
      </c>
      <c r="F152" t="s">
        <v>1157</v>
      </c>
      <c r="G152" t="s">
        <v>1181</v>
      </c>
      <c r="H152" t="s">
        <v>1179</v>
      </c>
      <c r="I152" t="s">
        <v>1180</v>
      </c>
      <c r="J152" t="s">
        <v>23</v>
      </c>
      <c r="K152" t="s">
        <v>1235</v>
      </c>
      <c r="L152" t="s">
        <v>948</v>
      </c>
      <c r="M152">
        <v>10.7849579</v>
      </c>
      <c r="N152">
        <v>106.6989365</v>
      </c>
      <c r="O152" t="s">
        <v>946</v>
      </c>
    </row>
    <row r="153" spans="1:15">
      <c r="A153" t="s">
        <v>951</v>
      </c>
      <c r="B153" t="s">
        <v>1124</v>
      </c>
      <c r="C153">
        <v>5</v>
      </c>
      <c r="D153">
        <v>15</v>
      </c>
      <c r="E153" t="s">
        <v>1142</v>
      </c>
      <c r="F153" t="s">
        <v>1157</v>
      </c>
      <c r="G153" t="s">
        <v>1187</v>
      </c>
      <c r="H153" t="s">
        <v>1182</v>
      </c>
      <c r="I153" t="s">
        <v>1180</v>
      </c>
      <c r="J153" t="s">
        <v>1188</v>
      </c>
      <c r="K153" t="s">
        <v>1236</v>
      </c>
      <c r="L153" t="s">
        <v>952</v>
      </c>
      <c r="M153">
        <v>10.790244</v>
      </c>
      <c r="N153">
        <v>106.7154314</v>
      </c>
      <c r="O153" t="s">
        <v>950</v>
      </c>
    </row>
    <row r="154" spans="1:15">
      <c r="A154" t="s">
        <v>955</v>
      </c>
      <c r="B154" t="s">
        <v>1124</v>
      </c>
      <c r="C154">
        <v>4.5</v>
      </c>
      <c r="D154">
        <v>86</v>
      </c>
      <c r="E154" t="s">
        <v>1142</v>
      </c>
      <c r="F154" t="s">
        <v>1157</v>
      </c>
      <c r="G154" t="s">
        <v>1187</v>
      </c>
      <c r="H154" t="s">
        <v>1182</v>
      </c>
      <c r="I154" t="s">
        <v>1180</v>
      </c>
      <c r="J154" t="s">
        <v>1188</v>
      </c>
      <c r="K154" t="s">
        <v>1236</v>
      </c>
      <c r="L154" t="s">
        <v>956</v>
      </c>
      <c r="M154">
        <v>10.7943889</v>
      </c>
      <c r="N154">
        <v>106.716203699999</v>
      </c>
      <c r="O154" t="s">
        <v>954</v>
      </c>
    </row>
    <row r="155" spans="1:15">
      <c r="A155" t="s">
        <v>961</v>
      </c>
      <c r="B155" t="s">
        <v>1124</v>
      </c>
      <c r="C155">
        <v>4.9000000000000004</v>
      </c>
      <c r="D155">
        <v>452</v>
      </c>
      <c r="E155" t="s">
        <v>1156</v>
      </c>
      <c r="F155" t="s">
        <v>1155</v>
      </c>
      <c r="G155" t="s">
        <v>1181</v>
      </c>
      <c r="H155" t="s">
        <v>1182</v>
      </c>
      <c r="I155" t="s">
        <v>1180</v>
      </c>
      <c r="J155" t="s">
        <v>1208</v>
      </c>
      <c r="K155" t="s">
        <v>1236</v>
      </c>
      <c r="L155" t="s">
        <v>962</v>
      </c>
      <c r="M155">
        <v>10.790016100000001</v>
      </c>
      <c r="N155">
        <v>106.712003999999</v>
      </c>
      <c r="O155" t="s">
        <v>960</v>
      </c>
    </row>
    <row r="156" spans="1:15">
      <c r="A156" t="s">
        <v>966</v>
      </c>
      <c r="B156" t="s">
        <v>1124</v>
      </c>
      <c r="C156">
        <v>4.9000000000000004</v>
      </c>
      <c r="D156">
        <v>39</v>
      </c>
      <c r="E156" t="s">
        <v>1142</v>
      </c>
      <c r="F156" t="s">
        <v>1155</v>
      </c>
      <c r="G156" t="s">
        <v>1185</v>
      </c>
      <c r="H156" t="s">
        <v>1182</v>
      </c>
      <c r="I156" t="s">
        <v>1180</v>
      </c>
      <c r="J156" t="s">
        <v>1204</v>
      </c>
      <c r="K156" t="s">
        <v>1239</v>
      </c>
      <c r="L156" t="s">
        <v>967</v>
      </c>
      <c r="M156">
        <v>10.7939259</v>
      </c>
      <c r="N156">
        <v>106.70941740000001</v>
      </c>
      <c r="O156" t="s">
        <v>965</v>
      </c>
    </row>
    <row r="157" spans="1:15">
      <c r="A157" t="s">
        <v>975</v>
      </c>
      <c r="B157" t="s">
        <v>1124</v>
      </c>
      <c r="C157">
        <v>4.3</v>
      </c>
      <c r="D157">
        <v>16</v>
      </c>
      <c r="E157" t="s">
        <v>1142</v>
      </c>
      <c r="F157" t="s">
        <v>1157</v>
      </c>
      <c r="G157" t="s">
        <v>1187</v>
      </c>
      <c r="H157" t="s">
        <v>1182</v>
      </c>
      <c r="I157" t="s">
        <v>1180</v>
      </c>
      <c r="J157" t="s">
        <v>1188</v>
      </c>
      <c r="K157" t="s">
        <v>1236</v>
      </c>
      <c r="L157" t="s">
        <v>976</v>
      </c>
      <c r="M157">
        <v>10.7928043</v>
      </c>
      <c r="N157">
        <v>106.711687299999</v>
      </c>
      <c r="O157" t="s">
        <v>974</v>
      </c>
    </row>
    <row r="158" spans="1:15">
      <c r="A158" t="s">
        <v>980</v>
      </c>
      <c r="B158" t="s">
        <v>1124</v>
      </c>
      <c r="C158">
        <v>5</v>
      </c>
      <c r="D158">
        <v>7</v>
      </c>
      <c r="E158" t="s">
        <v>1142</v>
      </c>
      <c r="F158" t="s">
        <v>1157</v>
      </c>
      <c r="G158" t="s">
        <v>1189</v>
      </c>
      <c r="H158" t="s">
        <v>1182</v>
      </c>
      <c r="I158" t="s">
        <v>1180</v>
      </c>
      <c r="J158" t="s">
        <v>1188</v>
      </c>
      <c r="K158" t="s">
        <v>1239</v>
      </c>
      <c r="L158" t="s">
        <v>981</v>
      </c>
      <c r="M158">
        <v>10.7918298</v>
      </c>
      <c r="N158">
        <v>106.709976999999</v>
      </c>
      <c r="O158" t="s">
        <v>979</v>
      </c>
    </row>
    <row r="159" spans="1:15">
      <c r="A159" t="s">
        <v>990</v>
      </c>
      <c r="B159" t="s">
        <v>1124</v>
      </c>
      <c r="C159">
        <v>3.2</v>
      </c>
      <c r="D159">
        <v>5</v>
      </c>
      <c r="E159" t="s">
        <v>1157</v>
      </c>
      <c r="F159" t="s">
        <v>1155</v>
      </c>
      <c r="G159" t="s">
        <v>1187</v>
      </c>
      <c r="H159" t="s">
        <v>1182</v>
      </c>
      <c r="I159" t="s">
        <v>1180</v>
      </c>
      <c r="J159" t="s">
        <v>1188</v>
      </c>
      <c r="K159" t="s">
        <v>1236</v>
      </c>
      <c r="L159" t="s">
        <v>991</v>
      </c>
      <c r="M159">
        <v>10.7972109</v>
      </c>
      <c r="N159">
        <v>106.7056765</v>
      </c>
      <c r="O159" t="s">
        <v>989</v>
      </c>
    </row>
    <row r="160" spans="1:15">
      <c r="A160" t="s">
        <v>994</v>
      </c>
      <c r="B160" t="s">
        <v>1124</v>
      </c>
      <c r="C160">
        <v>4.4000000000000004</v>
      </c>
      <c r="D160">
        <v>503</v>
      </c>
      <c r="E160" t="s">
        <v>1157</v>
      </c>
      <c r="F160" t="s">
        <v>1155</v>
      </c>
      <c r="G160" t="s">
        <v>1191</v>
      </c>
      <c r="H160" t="s">
        <v>1182</v>
      </c>
      <c r="I160" t="s">
        <v>1180</v>
      </c>
      <c r="J160" t="s">
        <v>1183</v>
      </c>
      <c r="K160" t="s">
        <v>1236</v>
      </c>
      <c r="L160" t="s">
        <v>995</v>
      </c>
      <c r="M160">
        <v>10.7951286999999</v>
      </c>
      <c r="N160">
        <v>106.7210912</v>
      </c>
      <c r="O160" t="s">
        <v>993</v>
      </c>
    </row>
    <row r="161" spans="1:15">
      <c r="A161" t="s">
        <v>999</v>
      </c>
      <c r="B161" t="s">
        <v>1124</v>
      </c>
      <c r="C161">
        <v>4.9000000000000004</v>
      </c>
      <c r="D161">
        <v>20</v>
      </c>
      <c r="E161" t="s">
        <v>1157</v>
      </c>
      <c r="F161" t="s">
        <v>1157</v>
      </c>
      <c r="G161" t="s">
        <v>1178</v>
      </c>
      <c r="H161" t="s">
        <v>1179</v>
      </c>
      <c r="I161" t="s">
        <v>1180</v>
      </c>
      <c r="J161" t="s">
        <v>35</v>
      </c>
      <c r="K161" t="s">
        <v>1237</v>
      </c>
      <c r="L161" t="s">
        <v>1000</v>
      </c>
      <c r="M161">
        <v>10.7895112999999</v>
      </c>
      <c r="N161">
        <v>106.7081421</v>
      </c>
      <c r="O161" t="s">
        <v>998</v>
      </c>
    </row>
    <row r="162" spans="1:15">
      <c r="A162" t="s">
        <v>1005</v>
      </c>
      <c r="B162" t="s">
        <v>1124</v>
      </c>
      <c r="D162">
        <v>0</v>
      </c>
      <c r="E162" t="s">
        <v>1157</v>
      </c>
      <c r="F162" t="s">
        <v>1155</v>
      </c>
      <c r="G162" t="s">
        <v>1191</v>
      </c>
      <c r="H162" t="s">
        <v>1182</v>
      </c>
      <c r="I162" t="s">
        <v>1180</v>
      </c>
      <c r="J162" t="s">
        <v>1183</v>
      </c>
      <c r="K162" t="s">
        <v>1236</v>
      </c>
      <c r="L162" t="s">
        <v>1006</v>
      </c>
      <c r="M162">
        <v>10.7906631999999</v>
      </c>
      <c r="N162">
        <v>106.7105803</v>
      </c>
      <c r="O162" t="s">
        <v>1004</v>
      </c>
    </row>
    <row r="163" spans="1:15">
      <c r="A163" t="s">
        <v>1336</v>
      </c>
      <c r="B163" t="s">
        <v>1123</v>
      </c>
      <c r="C163">
        <v>4.2</v>
      </c>
      <c r="D163">
        <v>13000</v>
      </c>
      <c r="E163" t="s">
        <v>1138</v>
      </c>
      <c r="F163" t="s">
        <v>1155</v>
      </c>
      <c r="G163" t="s">
        <v>1189</v>
      </c>
      <c r="H163" t="s">
        <v>1179</v>
      </c>
      <c r="I163" t="s">
        <v>1180</v>
      </c>
      <c r="J163" t="s">
        <v>1571</v>
      </c>
      <c r="K163" t="s">
        <v>1235</v>
      </c>
      <c r="L163" t="s">
        <v>1572</v>
      </c>
      <c r="M163">
        <v>10.7773167</v>
      </c>
      <c r="N163">
        <v>106.6977562</v>
      </c>
      <c r="O163" t="s">
        <v>1335</v>
      </c>
    </row>
    <row r="164" spans="1:15">
      <c r="A164" t="s">
        <v>1340</v>
      </c>
      <c r="B164" t="s">
        <v>1123</v>
      </c>
      <c r="E164" t="s">
        <v>1138</v>
      </c>
      <c r="F164" t="s">
        <v>1158</v>
      </c>
      <c r="G164" t="s">
        <v>1189</v>
      </c>
      <c r="H164" t="s">
        <v>1179</v>
      </c>
      <c r="I164" t="s">
        <v>1180</v>
      </c>
      <c r="J164" t="s">
        <v>1573</v>
      </c>
      <c r="K164" t="s">
        <v>1235</v>
      </c>
      <c r="L164" t="s">
        <v>1574</v>
      </c>
      <c r="M164">
        <v>10.7801253</v>
      </c>
      <c r="N164">
        <v>106.70445789999999</v>
      </c>
      <c r="O164" t="s">
        <v>1339</v>
      </c>
    </row>
    <row r="165" spans="1:15">
      <c r="A165" t="s">
        <v>1343</v>
      </c>
      <c r="B165" t="s">
        <v>1123</v>
      </c>
      <c r="C165">
        <v>4.4000000000000004</v>
      </c>
      <c r="D165">
        <v>22</v>
      </c>
      <c r="E165" t="s">
        <v>1138</v>
      </c>
      <c r="F165" t="s">
        <v>1155</v>
      </c>
      <c r="G165" t="s">
        <v>1181</v>
      </c>
      <c r="H165" t="s">
        <v>1179</v>
      </c>
      <c r="I165" t="s">
        <v>1180</v>
      </c>
      <c r="J165" t="s">
        <v>1575</v>
      </c>
      <c r="K165" t="s">
        <v>1235</v>
      </c>
      <c r="L165" t="s">
        <v>1576</v>
      </c>
      <c r="M165">
        <v>10.778780599999999</v>
      </c>
      <c r="N165">
        <v>106.6981583</v>
      </c>
      <c r="O165" t="s">
        <v>1342</v>
      </c>
    </row>
    <row r="166" spans="1:15">
      <c r="A166" t="s">
        <v>1347</v>
      </c>
      <c r="B166" t="s">
        <v>1123</v>
      </c>
      <c r="E166" t="s">
        <v>1138</v>
      </c>
      <c r="F166" t="s">
        <v>1158</v>
      </c>
      <c r="G166" t="s">
        <v>1178</v>
      </c>
      <c r="H166" t="s">
        <v>1179</v>
      </c>
      <c r="I166" t="s">
        <v>1180</v>
      </c>
      <c r="J166" t="s">
        <v>1577</v>
      </c>
      <c r="K166" t="s">
        <v>1578</v>
      </c>
      <c r="L166" t="s">
        <v>1579</v>
      </c>
      <c r="M166">
        <v>10.7771971</v>
      </c>
      <c r="N166">
        <v>106.700107</v>
      </c>
      <c r="O166" t="s">
        <v>1346</v>
      </c>
    </row>
    <row r="167" spans="1:15">
      <c r="A167" t="s">
        <v>1351</v>
      </c>
      <c r="B167" t="s">
        <v>1123</v>
      </c>
      <c r="E167" t="s">
        <v>1156</v>
      </c>
      <c r="F167" t="s">
        <v>1159</v>
      </c>
      <c r="G167" t="s">
        <v>1181</v>
      </c>
      <c r="H167" t="s">
        <v>1179</v>
      </c>
      <c r="I167" t="s">
        <v>1180</v>
      </c>
      <c r="J167" t="s">
        <v>1580</v>
      </c>
      <c r="K167" t="s">
        <v>1581</v>
      </c>
      <c r="L167" t="s">
        <v>1582</v>
      </c>
      <c r="M167">
        <v>10.7798149</v>
      </c>
      <c r="N167">
        <v>106.7029294</v>
      </c>
      <c r="O167" t="s">
        <v>1350</v>
      </c>
    </row>
    <row r="168" spans="1:15">
      <c r="A168" t="s">
        <v>1355</v>
      </c>
      <c r="B168" t="s">
        <v>1123</v>
      </c>
      <c r="D168">
        <v>1085</v>
      </c>
      <c r="E168" t="s">
        <v>1138</v>
      </c>
      <c r="F168" t="s">
        <v>1158</v>
      </c>
      <c r="G168" t="s">
        <v>1181</v>
      </c>
      <c r="H168" t="s">
        <v>1179</v>
      </c>
      <c r="I168" t="s">
        <v>1180</v>
      </c>
      <c r="J168" t="s">
        <v>1583</v>
      </c>
      <c r="K168" t="s">
        <v>1235</v>
      </c>
      <c r="L168" t="s">
        <v>1584</v>
      </c>
      <c r="M168">
        <v>10.776173099999999</v>
      </c>
      <c r="N168">
        <v>106.7048075</v>
      </c>
      <c r="O168" t="s">
        <v>1354</v>
      </c>
    </row>
    <row r="169" spans="1:15">
      <c r="A169" t="s">
        <v>1359</v>
      </c>
      <c r="B169" t="s">
        <v>1123</v>
      </c>
      <c r="D169">
        <v>1600</v>
      </c>
      <c r="E169" t="s">
        <v>1142</v>
      </c>
      <c r="F169" t="s">
        <v>1155</v>
      </c>
      <c r="G169" t="s">
        <v>1189</v>
      </c>
      <c r="H169" t="s">
        <v>1179</v>
      </c>
      <c r="I169" t="s">
        <v>1180</v>
      </c>
      <c r="J169" t="s">
        <v>1585</v>
      </c>
      <c r="K169" t="s">
        <v>1235</v>
      </c>
      <c r="L169" t="s">
        <v>1586</v>
      </c>
      <c r="M169">
        <v>10.7791987</v>
      </c>
      <c r="N169">
        <v>106.7005186</v>
      </c>
      <c r="O169" t="s">
        <v>1358</v>
      </c>
    </row>
    <row r="170" spans="1:15">
      <c r="A170" t="s">
        <v>1363</v>
      </c>
      <c r="B170" t="s">
        <v>1123</v>
      </c>
      <c r="D170">
        <v>1101</v>
      </c>
      <c r="E170" t="s">
        <v>1138</v>
      </c>
      <c r="F170" t="s">
        <v>1158</v>
      </c>
      <c r="G170" t="s">
        <v>1178</v>
      </c>
      <c r="H170" t="s">
        <v>1179</v>
      </c>
      <c r="I170" t="s">
        <v>1180</v>
      </c>
      <c r="J170" t="s">
        <v>1587</v>
      </c>
      <c r="K170" t="s">
        <v>1578</v>
      </c>
      <c r="L170" t="s">
        <v>1588</v>
      </c>
      <c r="M170">
        <v>10.7771626</v>
      </c>
      <c r="N170">
        <v>106.70015069999999</v>
      </c>
      <c r="O170" t="s">
        <v>1362</v>
      </c>
    </row>
    <row r="171" spans="1:15">
      <c r="A171" t="s">
        <v>1367</v>
      </c>
      <c r="B171" t="s">
        <v>1123</v>
      </c>
      <c r="C171">
        <v>4.5</v>
      </c>
      <c r="D171">
        <v>26</v>
      </c>
      <c r="E171" t="s">
        <v>1156</v>
      </c>
      <c r="F171" t="s">
        <v>1158</v>
      </c>
      <c r="G171" t="s">
        <v>1181</v>
      </c>
      <c r="H171" t="s">
        <v>1179</v>
      </c>
      <c r="I171" t="s">
        <v>1180</v>
      </c>
      <c r="J171" t="s">
        <v>1589</v>
      </c>
      <c r="K171" t="s">
        <v>1235</v>
      </c>
      <c r="L171" t="s">
        <v>1590</v>
      </c>
      <c r="M171">
        <v>10.7785004</v>
      </c>
      <c r="N171">
        <v>106.70377449999999</v>
      </c>
      <c r="O171" t="s">
        <v>1366</v>
      </c>
    </row>
    <row r="172" spans="1:15">
      <c r="A172" t="s">
        <v>1371</v>
      </c>
      <c r="B172" t="s">
        <v>1123</v>
      </c>
      <c r="D172">
        <v>266</v>
      </c>
      <c r="E172" t="s">
        <v>1138</v>
      </c>
      <c r="F172" t="s">
        <v>1158</v>
      </c>
      <c r="G172" t="s">
        <v>1187</v>
      </c>
      <c r="H172" t="s">
        <v>1198</v>
      </c>
      <c r="I172" t="s">
        <v>1180</v>
      </c>
      <c r="J172" t="s">
        <v>1591</v>
      </c>
      <c r="K172" t="s">
        <v>1235</v>
      </c>
      <c r="L172" t="s">
        <v>1592</v>
      </c>
      <c r="M172">
        <v>10.777139999999999</v>
      </c>
      <c r="N172">
        <v>106.70423599999999</v>
      </c>
      <c r="O172" t="s">
        <v>1370</v>
      </c>
    </row>
    <row r="173" spans="1:15">
      <c r="A173" t="s">
        <v>1375</v>
      </c>
      <c r="B173" t="s">
        <v>1123</v>
      </c>
      <c r="E173" t="s">
        <v>1138</v>
      </c>
      <c r="F173" t="s">
        <v>1155</v>
      </c>
      <c r="G173" t="s">
        <v>1191</v>
      </c>
      <c r="H173" t="s">
        <v>1179</v>
      </c>
      <c r="I173" t="s">
        <v>1135</v>
      </c>
      <c r="J173" t="s">
        <v>1593</v>
      </c>
      <c r="K173" t="s">
        <v>1235</v>
      </c>
      <c r="L173" t="s">
        <v>1594</v>
      </c>
      <c r="M173">
        <v>10.7787276</v>
      </c>
      <c r="N173">
        <v>106.6980638</v>
      </c>
      <c r="O173" t="s">
        <v>1374</v>
      </c>
    </row>
    <row r="174" spans="1:15">
      <c r="A174" t="s">
        <v>1379</v>
      </c>
      <c r="B174" t="s">
        <v>1123</v>
      </c>
      <c r="E174" t="s">
        <v>1138</v>
      </c>
      <c r="F174" t="s">
        <v>1158</v>
      </c>
      <c r="G174" t="s">
        <v>1181</v>
      </c>
      <c r="H174" t="s">
        <v>1179</v>
      </c>
      <c r="I174" t="s">
        <v>1180</v>
      </c>
      <c r="J174" t="s">
        <v>1583</v>
      </c>
      <c r="K174" t="s">
        <v>1235</v>
      </c>
      <c r="L174" t="s">
        <v>1595</v>
      </c>
      <c r="M174">
        <v>10.7771121</v>
      </c>
      <c r="N174">
        <v>106.70397490000001</v>
      </c>
      <c r="O174" t="s">
        <v>1378</v>
      </c>
    </row>
    <row r="175" spans="1:15">
      <c r="A175" t="s">
        <v>51</v>
      </c>
      <c r="B175" t="s">
        <v>1123</v>
      </c>
      <c r="C175">
        <v>4.8</v>
      </c>
      <c r="D175">
        <v>1365</v>
      </c>
      <c r="E175" t="s">
        <v>1138</v>
      </c>
      <c r="F175" t="s">
        <v>1155</v>
      </c>
      <c r="G175" t="s">
        <v>1181</v>
      </c>
      <c r="H175" t="s">
        <v>1179</v>
      </c>
      <c r="I175" t="s">
        <v>1180</v>
      </c>
      <c r="J175" t="s">
        <v>23</v>
      </c>
      <c r="K175" t="s">
        <v>1235</v>
      </c>
      <c r="L175" t="s">
        <v>1596</v>
      </c>
      <c r="M175">
        <v>10.784419</v>
      </c>
      <c r="N175">
        <v>106.697799</v>
      </c>
      <c r="O175" t="s">
        <v>1382</v>
      </c>
    </row>
    <row r="176" spans="1:15">
      <c r="A176" t="s">
        <v>1385</v>
      </c>
      <c r="B176" t="s">
        <v>1123</v>
      </c>
      <c r="E176" t="s">
        <v>1156</v>
      </c>
      <c r="F176" t="s">
        <v>1158</v>
      </c>
      <c r="G176" t="s">
        <v>1181</v>
      </c>
      <c r="H176" t="s">
        <v>1179</v>
      </c>
      <c r="I176" t="s">
        <v>1180</v>
      </c>
      <c r="J176" t="s">
        <v>1597</v>
      </c>
      <c r="K176" t="s">
        <v>1235</v>
      </c>
      <c r="L176" t="s">
        <v>1598</v>
      </c>
      <c r="M176">
        <v>10.7778086</v>
      </c>
      <c r="N176">
        <v>106.7046515</v>
      </c>
      <c r="O176" t="s">
        <v>1384</v>
      </c>
    </row>
    <row r="177" spans="1:15">
      <c r="A177" t="s">
        <v>1390</v>
      </c>
      <c r="B177" t="s">
        <v>1123</v>
      </c>
      <c r="E177" t="s">
        <v>1138</v>
      </c>
      <c r="F177" t="s">
        <v>1158</v>
      </c>
      <c r="G177" t="s">
        <v>1187</v>
      </c>
      <c r="H177" t="s">
        <v>1198</v>
      </c>
      <c r="I177" t="s">
        <v>1180</v>
      </c>
      <c r="J177" t="s">
        <v>1599</v>
      </c>
      <c r="K177" t="s">
        <v>1600</v>
      </c>
      <c r="L177" t="s">
        <v>1595</v>
      </c>
      <c r="M177">
        <v>10.778228</v>
      </c>
      <c r="N177">
        <v>106.6990193</v>
      </c>
      <c r="O177" t="s">
        <v>1389</v>
      </c>
    </row>
    <row r="178" spans="1:15">
      <c r="A178" t="s">
        <v>1394</v>
      </c>
      <c r="B178" t="s">
        <v>1123</v>
      </c>
      <c r="E178" t="s">
        <v>1156</v>
      </c>
      <c r="F178" t="s">
        <v>1159</v>
      </c>
      <c r="G178" t="s">
        <v>1181</v>
      </c>
      <c r="H178" t="s">
        <v>1179</v>
      </c>
      <c r="I178" t="s">
        <v>1180</v>
      </c>
      <c r="J178" t="s">
        <v>1580</v>
      </c>
      <c r="K178" t="s">
        <v>1581</v>
      </c>
      <c r="L178" t="s">
        <v>1582</v>
      </c>
      <c r="M178">
        <v>10.780241800000001</v>
      </c>
      <c r="N178">
        <v>106.7046589</v>
      </c>
      <c r="O178" t="s">
        <v>1393</v>
      </c>
    </row>
    <row r="179" spans="1:15">
      <c r="A179" t="s">
        <v>1398</v>
      </c>
      <c r="B179" t="s">
        <v>1123</v>
      </c>
      <c r="E179" t="s">
        <v>1156</v>
      </c>
      <c r="F179" t="s">
        <v>1158</v>
      </c>
      <c r="G179" t="s">
        <v>1181</v>
      </c>
      <c r="H179" t="s">
        <v>1179</v>
      </c>
      <c r="I179" t="s">
        <v>1180</v>
      </c>
      <c r="J179" t="s">
        <v>1601</v>
      </c>
      <c r="K179" t="s">
        <v>1235</v>
      </c>
      <c r="L179" t="s">
        <v>1602</v>
      </c>
      <c r="M179">
        <v>10.775725899999999</v>
      </c>
      <c r="N179">
        <v>106.70378100000001</v>
      </c>
      <c r="O179" t="s">
        <v>1397</v>
      </c>
    </row>
    <row r="180" spans="1:15">
      <c r="A180" t="s">
        <v>1402</v>
      </c>
      <c r="B180" t="s">
        <v>1123</v>
      </c>
      <c r="E180" t="s">
        <v>1138</v>
      </c>
      <c r="F180" t="s">
        <v>1158</v>
      </c>
      <c r="G180" t="s">
        <v>1187</v>
      </c>
      <c r="H180" t="s">
        <v>1198</v>
      </c>
      <c r="I180" t="s">
        <v>1180</v>
      </c>
      <c r="J180" t="s">
        <v>1603</v>
      </c>
      <c r="K180" t="s">
        <v>1600</v>
      </c>
      <c r="L180" t="s">
        <v>1595</v>
      </c>
      <c r="M180">
        <v>10.7785192</v>
      </c>
      <c r="N180">
        <v>106.6981803</v>
      </c>
      <c r="O180" t="s">
        <v>1401</v>
      </c>
    </row>
    <row r="181" spans="1:15">
      <c r="A181" t="s">
        <v>1406</v>
      </c>
      <c r="B181" t="s">
        <v>1123</v>
      </c>
      <c r="E181" t="s">
        <v>1138</v>
      </c>
      <c r="F181" t="s">
        <v>1158</v>
      </c>
      <c r="G181" t="s">
        <v>1187</v>
      </c>
      <c r="H181" t="s">
        <v>1198</v>
      </c>
      <c r="I181" t="s">
        <v>1180</v>
      </c>
      <c r="J181" t="s">
        <v>1604</v>
      </c>
      <c r="K181" t="s">
        <v>1600</v>
      </c>
      <c r="L181" t="s">
        <v>1595</v>
      </c>
      <c r="M181">
        <v>10.776731</v>
      </c>
      <c r="N181">
        <v>106.7047843</v>
      </c>
      <c r="O181" t="s">
        <v>1405</v>
      </c>
    </row>
    <row r="182" spans="1:15">
      <c r="A182" t="s">
        <v>1410</v>
      </c>
      <c r="B182" t="s">
        <v>1123</v>
      </c>
      <c r="E182" t="s">
        <v>1156</v>
      </c>
      <c r="F182" t="s">
        <v>1159</v>
      </c>
      <c r="G182" t="s">
        <v>1181</v>
      </c>
      <c r="H182" t="s">
        <v>1179</v>
      </c>
      <c r="I182" t="s">
        <v>1180</v>
      </c>
      <c r="J182" t="s">
        <v>1580</v>
      </c>
      <c r="K182" t="s">
        <v>1581</v>
      </c>
      <c r="L182" t="s">
        <v>1582</v>
      </c>
      <c r="M182">
        <v>10.776560099999999</v>
      </c>
      <c r="N182">
        <v>106.7049095</v>
      </c>
      <c r="O182" t="s">
        <v>1409</v>
      </c>
    </row>
    <row r="183" spans="1:15">
      <c r="A183" t="s">
        <v>1414</v>
      </c>
      <c r="B183" t="s">
        <v>1123</v>
      </c>
      <c r="E183" t="s">
        <v>1156</v>
      </c>
      <c r="F183" t="s">
        <v>1159</v>
      </c>
      <c r="G183" t="s">
        <v>1181</v>
      </c>
      <c r="H183" t="s">
        <v>1179</v>
      </c>
      <c r="I183" t="s">
        <v>1180</v>
      </c>
      <c r="J183" t="s">
        <v>1605</v>
      </c>
      <c r="K183" t="s">
        <v>1235</v>
      </c>
      <c r="L183" t="s">
        <v>1595</v>
      </c>
      <c r="M183">
        <v>10.777253099999999</v>
      </c>
      <c r="N183">
        <v>106.7002681</v>
      </c>
      <c r="O183" t="s">
        <v>1413</v>
      </c>
    </row>
    <row r="184" spans="1:15">
      <c r="A184" t="s">
        <v>1418</v>
      </c>
      <c r="B184" t="s">
        <v>1123</v>
      </c>
      <c r="E184" t="s">
        <v>1156</v>
      </c>
      <c r="F184" t="s">
        <v>1159</v>
      </c>
      <c r="G184" t="s">
        <v>1191</v>
      </c>
      <c r="H184" t="s">
        <v>1179</v>
      </c>
      <c r="I184" t="s">
        <v>1135</v>
      </c>
      <c r="J184" t="s">
        <v>1606</v>
      </c>
      <c r="K184" t="s">
        <v>1581</v>
      </c>
      <c r="L184" t="s">
        <v>1582</v>
      </c>
      <c r="M184">
        <v>10.779879899999999</v>
      </c>
      <c r="N184">
        <v>106.70295160000001</v>
      </c>
      <c r="O184" t="s">
        <v>1417</v>
      </c>
    </row>
    <row r="185" spans="1:15">
      <c r="A185" t="s">
        <v>1422</v>
      </c>
      <c r="B185" t="s">
        <v>1123</v>
      </c>
      <c r="E185" t="s">
        <v>1156</v>
      </c>
      <c r="F185" t="s">
        <v>1159</v>
      </c>
      <c r="G185" t="s">
        <v>1181</v>
      </c>
      <c r="H185" t="s">
        <v>1179</v>
      </c>
      <c r="I185" t="s">
        <v>1180</v>
      </c>
      <c r="J185" t="s">
        <v>1607</v>
      </c>
      <c r="K185" t="s">
        <v>1581</v>
      </c>
      <c r="L185" t="s">
        <v>1582</v>
      </c>
      <c r="M185">
        <v>10.7757948</v>
      </c>
      <c r="N185">
        <v>106.7049791</v>
      </c>
      <c r="O185" t="s">
        <v>1421</v>
      </c>
    </row>
    <row r="186" spans="1:15">
      <c r="A186" t="s">
        <v>1426</v>
      </c>
      <c r="B186" t="s">
        <v>1123</v>
      </c>
      <c r="E186" t="s">
        <v>1138</v>
      </c>
      <c r="F186" t="s">
        <v>1158</v>
      </c>
      <c r="G186" t="s">
        <v>1187</v>
      </c>
      <c r="H186" t="s">
        <v>1198</v>
      </c>
      <c r="I186" t="s">
        <v>1180</v>
      </c>
      <c r="J186" t="s">
        <v>1608</v>
      </c>
      <c r="K186" t="s">
        <v>1600</v>
      </c>
      <c r="L186" t="s">
        <v>1595</v>
      </c>
      <c r="M186">
        <v>10.777335799999999</v>
      </c>
      <c r="N186">
        <v>106.6999711</v>
      </c>
      <c r="O186" t="s">
        <v>1425</v>
      </c>
    </row>
    <row r="187" spans="1:15">
      <c r="A187" t="s">
        <v>1430</v>
      </c>
      <c r="B187" t="s">
        <v>1123</v>
      </c>
      <c r="E187" t="s">
        <v>1156</v>
      </c>
      <c r="F187" t="s">
        <v>1159</v>
      </c>
      <c r="G187" t="s">
        <v>1181</v>
      </c>
      <c r="H187" t="s">
        <v>1179</v>
      </c>
      <c r="I187" t="s">
        <v>1180</v>
      </c>
      <c r="J187" t="s">
        <v>1609</v>
      </c>
      <c r="K187" t="s">
        <v>1581</v>
      </c>
      <c r="L187" t="s">
        <v>1582</v>
      </c>
      <c r="M187">
        <v>10.779872900000001</v>
      </c>
      <c r="N187">
        <v>106.70419769999999</v>
      </c>
      <c r="O187" t="s">
        <v>1429</v>
      </c>
    </row>
    <row r="188" spans="1:15">
      <c r="A188" t="s">
        <v>1434</v>
      </c>
      <c r="B188" t="s">
        <v>1123</v>
      </c>
      <c r="E188" t="s">
        <v>1156</v>
      </c>
      <c r="F188" t="s">
        <v>1159</v>
      </c>
      <c r="G188" t="s">
        <v>1181</v>
      </c>
      <c r="H188" t="s">
        <v>1179</v>
      </c>
      <c r="I188" t="s">
        <v>1180</v>
      </c>
      <c r="J188" t="s">
        <v>1610</v>
      </c>
      <c r="K188" t="s">
        <v>1581</v>
      </c>
      <c r="L188" t="s">
        <v>1582</v>
      </c>
      <c r="M188">
        <v>10.778821000000001</v>
      </c>
      <c r="N188">
        <v>106.704387</v>
      </c>
      <c r="O188" t="s">
        <v>1433</v>
      </c>
    </row>
    <row r="189" spans="1:15">
      <c r="A189" t="s">
        <v>1438</v>
      </c>
      <c r="B189" t="s">
        <v>1123</v>
      </c>
      <c r="E189" t="s">
        <v>1156</v>
      </c>
      <c r="F189" t="s">
        <v>1158</v>
      </c>
      <c r="G189" t="s">
        <v>1181</v>
      </c>
      <c r="H189" t="s">
        <v>1179</v>
      </c>
      <c r="I189" t="s">
        <v>1180</v>
      </c>
      <c r="J189" t="s">
        <v>1611</v>
      </c>
      <c r="K189" t="s">
        <v>1235</v>
      </c>
      <c r="L189" t="s">
        <v>1595</v>
      </c>
      <c r="M189">
        <v>10.779974599999999</v>
      </c>
      <c r="N189">
        <v>106.7034214</v>
      </c>
      <c r="O189" t="s">
        <v>1437</v>
      </c>
    </row>
    <row r="190" spans="1:15">
      <c r="A190" t="s">
        <v>1442</v>
      </c>
      <c r="B190" t="s">
        <v>1123</v>
      </c>
      <c r="C190">
        <v>5</v>
      </c>
      <c r="D190">
        <v>47</v>
      </c>
      <c r="E190" t="s">
        <v>1138</v>
      </c>
      <c r="F190" t="s">
        <v>1158</v>
      </c>
      <c r="G190" t="s">
        <v>1189</v>
      </c>
      <c r="H190" t="s">
        <v>1179</v>
      </c>
      <c r="I190" t="s">
        <v>1180</v>
      </c>
      <c r="J190" t="s">
        <v>1573</v>
      </c>
      <c r="K190" t="s">
        <v>1235</v>
      </c>
      <c r="L190" t="s">
        <v>1612</v>
      </c>
      <c r="M190">
        <v>10.7798313</v>
      </c>
      <c r="N190">
        <v>106.7043948</v>
      </c>
      <c r="O190" t="s">
        <v>1441</v>
      </c>
    </row>
    <row r="191" spans="1:15">
      <c r="A191" t="s">
        <v>1445</v>
      </c>
      <c r="B191" t="s">
        <v>1123</v>
      </c>
      <c r="E191" t="s">
        <v>1138</v>
      </c>
      <c r="F191" t="s">
        <v>1158</v>
      </c>
      <c r="G191" t="s">
        <v>1181</v>
      </c>
      <c r="H191" t="s">
        <v>1198</v>
      </c>
      <c r="I191" t="s">
        <v>1180</v>
      </c>
      <c r="J191" t="s">
        <v>1613</v>
      </c>
      <c r="K191" t="s">
        <v>1600</v>
      </c>
      <c r="L191" t="s">
        <v>1595</v>
      </c>
      <c r="M191">
        <v>10.77901</v>
      </c>
      <c r="N191">
        <v>106.704562</v>
      </c>
      <c r="O191" t="s">
        <v>1444</v>
      </c>
    </row>
    <row r="192" spans="1:15">
      <c r="A192" t="s">
        <v>1449</v>
      </c>
      <c r="B192" t="s">
        <v>1123</v>
      </c>
      <c r="E192" t="s">
        <v>1138</v>
      </c>
      <c r="F192" t="s">
        <v>1158</v>
      </c>
      <c r="G192" t="s">
        <v>1181</v>
      </c>
      <c r="H192" t="s">
        <v>1179</v>
      </c>
      <c r="I192" t="s">
        <v>1180</v>
      </c>
      <c r="J192" t="s">
        <v>1583</v>
      </c>
      <c r="K192" t="s">
        <v>1235</v>
      </c>
      <c r="L192" t="s">
        <v>1595</v>
      </c>
      <c r="M192">
        <v>10.7787636</v>
      </c>
      <c r="N192">
        <v>106.7027829</v>
      </c>
      <c r="O192" t="s">
        <v>1448</v>
      </c>
    </row>
    <row r="193" spans="1:15">
      <c r="A193" t="s">
        <v>1453</v>
      </c>
      <c r="B193" t="s">
        <v>1123</v>
      </c>
      <c r="E193" t="s">
        <v>1138</v>
      </c>
      <c r="F193" t="s">
        <v>1158</v>
      </c>
      <c r="G193" t="s">
        <v>1191</v>
      </c>
      <c r="H193" t="s">
        <v>1179</v>
      </c>
      <c r="I193" t="s">
        <v>1135</v>
      </c>
      <c r="J193" t="s">
        <v>1614</v>
      </c>
      <c r="K193" t="s">
        <v>1235</v>
      </c>
      <c r="L193" t="s">
        <v>1595</v>
      </c>
      <c r="M193">
        <v>10.7782614</v>
      </c>
      <c r="N193">
        <v>106.6984487</v>
      </c>
      <c r="O193" t="s">
        <v>1452</v>
      </c>
    </row>
    <row r="194" spans="1:15">
      <c r="A194" t="s">
        <v>1457</v>
      </c>
      <c r="B194" t="s">
        <v>1123</v>
      </c>
      <c r="E194" t="s">
        <v>1156</v>
      </c>
      <c r="F194" t="s">
        <v>1158</v>
      </c>
      <c r="G194" t="s">
        <v>1181</v>
      </c>
      <c r="H194" t="s">
        <v>1179</v>
      </c>
      <c r="I194" t="s">
        <v>1180</v>
      </c>
      <c r="J194" t="s">
        <v>1583</v>
      </c>
      <c r="K194" t="s">
        <v>1235</v>
      </c>
      <c r="L194" t="s">
        <v>1615</v>
      </c>
      <c r="M194">
        <v>10.7799751</v>
      </c>
      <c r="N194">
        <v>106.7043106</v>
      </c>
      <c r="O194" t="s">
        <v>1456</v>
      </c>
    </row>
    <row r="195" spans="1:15">
      <c r="A195" t="s">
        <v>1461</v>
      </c>
      <c r="B195" t="s">
        <v>1123</v>
      </c>
      <c r="E195" t="s">
        <v>1156</v>
      </c>
      <c r="F195" t="s">
        <v>1159</v>
      </c>
      <c r="G195" t="s">
        <v>1181</v>
      </c>
      <c r="H195" t="s">
        <v>1179</v>
      </c>
      <c r="I195" t="s">
        <v>1180</v>
      </c>
      <c r="J195" t="s">
        <v>1616</v>
      </c>
      <c r="K195" t="s">
        <v>1235</v>
      </c>
      <c r="L195" t="s">
        <v>1595</v>
      </c>
      <c r="M195">
        <v>10.7799122</v>
      </c>
      <c r="N195">
        <v>106.7045026</v>
      </c>
      <c r="O195" t="s">
        <v>1460</v>
      </c>
    </row>
    <row r="196" spans="1:15">
      <c r="A196" t="s">
        <v>1464</v>
      </c>
      <c r="B196" t="s">
        <v>1123</v>
      </c>
      <c r="E196" t="s">
        <v>1156</v>
      </c>
      <c r="F196" t="s">
        <v>1155</v>
      </c>
      <c r="G196" t="s">
        <v>1191</v>
      </c>
      <c r="H196" t="s">
        <v>1179</v>
      </c>
      <c r="I196" t="s">
        <v>1135</v>
      </c>
      <c r="J196" t="s">
        <v>1617</v>
      </c>
      <c r="K196" t="s">
        <v>1235</v>
      </c>
      <c r="L196" t="s">
        <v>1618</v>
      </c>
      <c r="M196">
        <v>10.7763495</v>
      </c>
      <c r="N196">
        <v>106.7023643</v>
      </c>
      <c r="O196" t="s">
        <v>1463</v>
      </c>
    </row>
    <row r="197" spans="1:15">
      <c r="A197" t="s">
        <v>1468</v>
      </c>
      <c r="B197" t="s">
        <v>1123</v>
      </c>
      <c r="D197">
        <v>0</v>
      </c>
      <c r="E197" t="s">
        <v>1156</v>
      </c>
      <c r="F197" t="s">
        <v>1155</v>
      </c>
      <c r="G197" t="s">
        <v>1181</v>
      </c>
      <c r="H197" t="s">
        <v>1179</v>
      </c>
      <c r="I197" t="s">
        <v>1180</v>
      </c>
      <c r="J197" t="s">
        <v>1619</v>
      </c>
      <c r="K197" t="s">
        <v>1235</v>
      </c>
      <c r="L197" t="s">
        <v>1620</v>
      </c>
      <c r="M197">
        <v>10.7800639</v>
      </c>
      <c r="N197">
        <v>106.6994983</v>
      </c>
      <c r="O197" t="s">
        <v>1467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5BEB-F945-4922-A506-F7529B6395DB}">
  <dimension ref="A1:B4"/>
  <sheetViews>
    <sheetView workbookViewId="0">
      <selection sqref="A1:B4"/>
    </sheetView>
  </sheetViews>
  <sheetFormatPr defaultRowHeight="15"/>
  <cols>
    <col min="1" max="1" width="13.42578125" customWidth="1"/>
    <col min="2" max="2" width="16.7109375" customWidth="1"/>
  </cols>
  <sheetData>
    <row r="1" spans="1:2">
      <c r="A1" s="20" t="s">
        <v>1129</v>
      </c>
      <c r="B1" s="20" t="s">
        <v>1153</v>
      </c>
    </row>
    <row r="2" spans="1:2">
      <c r="A2" s="19" t="s">
        <v>126</v>
      </c>
      <c r="B2" s="19" t="s">
        <v>1142</v>
      </c>
    </row>
    <row r="3" spans="1:2">
      <c r="A3" s="19" t="s">
        <v>22</v>
      </c>
      <c r="B3" s="19" t="s">
        <v>1138</v>
      </c>
    </row>
    <row r="4" spans="1:2">
      <c r="A4" s="19" t="s">
        <v>34</v>
      </c>
      <c r="B4" s="19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03610-E469-471C-A5E3-5C9995082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Cleaned Table</vt:lpstr>
      <vt:lpstr>Dictionary</vt:lpstr>
      <vt:lpstr>Recommended districts</vt:lpstr>
      <vt:lpstr>Location</vt:lpstr>
      <vt:lpstr>Price Gap</vt:lpstr>
      <vt:lpstr>Concept</vt:lpstr>
      <vt:lpstr>Others</vt:lpstr>
      <vt:lpstr>Scoring model_input</vt:lpstr>
      <vt:lpstr>Scoring model_result</vt:lpstr>
      <vt:lpstr>Dist  Binh Thanh</vt:lpstr>
      <vt:lpstr>Dist 7</vt:lpstr>
      <vt:lpstr>Dist 2</vt:lpstr>
      <vt:lpstr>Dist 1</vt:lpstr>
      <vt:lpstr>District classification</vt:lpstr>
      <vt:lpstr>Ward Info</vt:lpstr>
      <vt:lpstr>RestaurantClassification</vt:lpstr>
      <vt:lpstr>Price_bucket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Pham</dc:creator>
  <cp:lastModifiedBy>Huan Pham</cp:lastModifiedBy>
  <dcterms:created xsi:type="dcterms:W3CDTF">2026-04-28T00:37:30Z</dcterms:created>
  <dcterms:modified xsi:type="dcterms:W3CDTF">2026-04-30T03:27:24Z</dcterms:modified>
</cp:coreProperties>
</file>